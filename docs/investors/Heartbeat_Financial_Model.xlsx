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Monthly" sheetId="2" state="visible" r:id="rId2"/>
    <sheet name="Use of Funds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₹#,##0;(₹#,##0);&quot;-&quot;"/>
    <numFmt numFmtId="165" formatCode="#,##0;(#,##0);&quot;-&quot;"/>
    <numFmt numFmtId="166" formatCode="0.0%;(0.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666666"/>
      <sz val="9"/>
    </font>
    <font>
      <name val="Arial"/>
      <b val="1"/>
      <color rgb="00FFFFFF"/>
    </font>
    <font>
      <name val="Arial"/>
      <color rgb="00008000"/>
    </font>
    <font>
      <name val="Arial"/>
      <color rgb="000563C1"/>
      <u val="single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FDE8ED"/>
      </patternFill>
    </fill>
    <fill>
      <patternFill patternType="solid">
        <fgColor rgb="00FFFF00"/>
      </patternFill>
    </fill>
    <fill>
      <patternFill patternType="solid">
        <fgColor rgb="00D452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10" fillId="2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6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165" fontId="5" fillId="3" borderId="0" pivotButton="0" quotePrefix="0" xfId="0"/>
    <xf numFmtId="166" fontId="5" fillId="0" borderId="0" pivotButton="0" quotePrefix="0" xfId="0"/>
    <xf numFmtId="166" fontId="5" fillId="3" borderId="0" pivotButton="0" quotePrefix="0" xfId="0"/>
    <xf numFmtId="0" fontId="7" fillId="4" borderId="0" pivotButton="0" quotePrefix="0" xfId="0"/>
    <xf numFmtId="0" fontId="7" fillId="4" borderId="0" applyAlignment="1" pivotButton="0" quotePrefix="0" xfId="0">
      <alignment horizontal="center"/>
    </xf>
    <xf numFmtId="49" fontId="4" fillId="0" borderId="0" pivotButton="0" quotePrefix="0" xfId="0"/>
    <xf numFmtId="164" fontId="8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166" fontId="10" fillId="0" borderId="0" pivotButton="0" quotePrefix="0" xfId="0"/>
    <xf numFmtId="166" fontId="3" fillId="0" borderId="0" pivotButton="0" quotePrefix="0" xfId="0"/>
    <xf numFmtId="165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redseer.com/articles/whos-winning-in-indias-dating-matrimony-market-and-where-are-the-opportunities-for-platforms-and-investors/" TargetMode="External" Id="rId1" /><Relationship Type="http://schemas.openxmlformats.org/officeDocument/2006/relationships/hyperlink" Target="https://www.marknteladvisors.com/press-release/india-dating-apps-market-size" TargetMode="External" Id="rId2" /><Relationship Type="http://schemas.openxmlformats.org/officeDocument/2006/relationships/hyperlink" Target="https://www.grandviewresearch.com/horizon/outlook/online-dating-application-market/india" TargetMode="External" Id="rId3" /><Relationship Type="http://schemas.openxmlformats.org/officeDocument/2006/relationships/hyperlink" Target="https://www.businesstoday.in/entrepreneurship/news/story/infoedge-acquires-76-stake-in-dating-app-aisle-for-rs-91-cr-325207-2022-03-08" TargetMode="External" Id="rId4" /><Relationship Type="http://schemas.openxmlformats.org/officeDocument/2006/relationships/hyperlink" Target="https://www.globaldatinginsights.com/from-the-web/hinge-india-second-largest-market/" TargetMode="External" Id="rId5" /><Relationship Type="http://schemas.openxmlformats.org/officeDocument/2006/relationships/hyperlink" Target="https://finviz.com/news/298114/match-group-announces-fourth-quarter-and-full-year-results" TargetMode="External" Id="rId6" /><Relationship Type="http://schemas.openxmlformats.org/officeDocument/2006/relationships/hyperlink" Target="https://inc42.com/company/trulymadly/" TargetMode="External" Id="rId7" /><Relationship Type="http://schemas.openxmlformats.org/officeDocument/2006/relationships/hyperlink" Target="https://yourstory.com/2021/12/bengaluru-dating-app-audio-romance-frnd-series-a-funding-krafton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0" customWidth="1" min="3" max="3"/>
  </cols>
  <sheetData>
    <row r="1">
      <c r="A1" s="1" t="inlineStr">
        <is>
          <t>Heartbeat: 18-month plan, key assumptions</t>
        </is>
      </c>
      <c r="B1" s="2" t="n"/>
      <c r="C1" s="2" t="n"/>
    </row>
    <row r="2">
      <c r="A2" s="3" t="inlineStr">
        <is>
          <t>Blue = input you can change. Yellow = key lever. All money in ₹ (INR), monthly unless noted. Every other sheet recalculates from these cells.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Funding</t>
        </is>
      </c>
      <c r="B4" s="5" t="n"/>
      <c r="C4" s="5" t="n"/>
    </row>
    <row r="5">
      <c r="A5" s="6" t="inlineStr">
        <is>
          <t>Raise amount</t>
        </is>
      </c>
      <c r="B5" s="7" t="n">
        <v>7500000</v>
      </c>
      <c r="C5" s="8" t="inlineStr">
        <is>
          <t>Proposed angel round. Founder's decision; ₹75 L gives ~18 months of runway at these costs.</t>
        </is>
      </c>
    </row>
    <row r="6">
      <c r="A6" s="4" t="inlineStr">
        <is>
          <t>Timeline (month number)</t>
        </is>
      </c>
      <c r="B6" s="5" t="n"/>
      <c r="C6" s="5" t="n"/>
    </row>
    <row r="7">
      <c r="A7" s="6" t="inlineStr">
        <is>
          <t>Build phase ends (Phases 0–4 of the plan)</t>
        </is>
      </c>
      <c r="B7" s="9" t="n">
        <v>3</v>
      </c>
      <c r="C7" s="8" t="inlineStr">
        <is>
          <t>docs/DATING_PLAN.md §10</t>
        </is>
      </c>
    </row>
    <row r="8">
      <c r="A8" s="6" t="inlineStr">
        <is>
          <t>Closed beta ends (one city, invite-only)</t>
        </is>
      </c>
      <c r="B8" s="9" t="n">
        <v>6</v>
      </c>
      <c r="C8" s="8" t="inlineStr">
        <is>
          <t>docs/DATING_PLAN.md §10</t>
        </is>
      </c>
    </row>
    <row r="9">
      <c r="A9" s="6" t="inlineStr">
        <is>
          <t>Bengaluru public launch ends</t>
        </is>
      </c>
      <c r="B9" s="9" t="n">
        <v>12</v>
      </c>
      <c r="C9" s="8" t="inlineStr">
        <is>
          <t>After this month the plan adds a second city</t>
        </is>
      </c>
    </row>
    <row r="10">
      <c r="A10" s="6" t="inlineStr">
        <is>
          <t>Premium (Heartbeat+) starts in month</t>
        </is>
      </c>
      <c r="B10" s="9" t="n">
        <v>7</v>
      </c>
      <c r="C10" s="8" t="inlineStr">
        <is>
          <t>Premium switched on at public launch</t>
        </is>
      </c>
    </row>
    <row r="11">
      <c r="A11" s="4" t="inlineStr">
        <is>
          <t>Team (monthly cost)</t>
        </is>
      </c>
      <c r="B11" s="5" t="n"/>
      <c r="C11" s="5" t="n"/>
    </row>
    <row r="12">
      <c r="A12" s="6" t="inlineStr">
        <is>
          <t>Founder salary</t>
        </is>
      </c>
      <c r="B12" s="10" t="n">
        <v>50000</v>
      </c>
      <c r="C12" s="8" t="inlineStr">
        <is>
          <t>Below-market founder pay; founder's estimate</t>
        </is>
      </c>
    </row>
    <row r="13">
      <c r="A13" s="6" t="inlineStr">
        <is>
          <t>Full-stack developer, from month</t>
        </is>
      </c>
      <c r="B13" s="9" t="n">
        <v>1</v>
      </c>
      <c r="C13" s="2" t="n"/>
    </row>
    <row r="14">
      <c r="A14" s="6" t="inlineStr">
        <is>
          <t>Full-stack developer salary</t>
        </is>
      </c>
      <c r="B14" s="10" t="n">
        <v>110000</v>
      </c>
      <c r="C14" s="8" t="inlineStr">
        <is>
          <t>Estimate for a mid-level React/Node developer in Bengaluru (CTC/12)</t>
        </is>
      </c>
    </row>
    <row r="15">
      <c r="A15" s="6" t="inlineStr">
        <is>
          <t>Community and safety lead, from month</t>
        </is>
      </c>
      <c r="B15" s="9" t="n">
        <v>4</v>
      </c>
      <c r="C15" s="8" t="inlineStr">
        <is>
          <t>Manual photo review, reports, beta community. Needed from beta</t>
        </is>
      </c>
    </row>
    <row r="16">
      <c r="A16" s="6" t="inlineStr">
        <is>
          <t>Community and safety lead salary</t>
        </is>
      </c>
      <c r="B16" s="10" t="n">
        <v>45000</v>
      </c>
      <c r="C16" s="8" t="inlineStr">
        <is>
          <t>Estimate</t>
        </is>
      </c>
    </row>
    <row r="17">
      <c r="A17" s="6" t="inlineStr">
        <is>
          <t>Content writer (part-time), from month</t>
        </is>
      </c>
      <c r="B17" s="9" t="n">
        <v>1</v>
      </c>
      <c r="C17" s="8" t="inlineStr">
        <is>
          <t>Writes question packs in English and Hinglish</t>
        </is>
      </c>
    </row>
    <row r="18">
      <c r="A18" s="6" t="inlineStr">
        <is>
          <t>Content writer cost</t>
        </is>
      </c>
      <c r="B18" s="10" t="n">
        <v>25000</v>
      </c>
      <c r="C18" s="8" t="inlineStr">
        <is>
          <t>Estimate, part-time</t>
        </is>
      </c>
    </row>
    <row r="19">
      <c r="A19" s="4" t="inlineStr">
        <is>
          <t>Marketing (monthly spend)</t>
        </is>
      </c>
      <c r="B19" s="5" t="n"/>
      <c r="C19" s="5" t="n"/>
    </row>
    <row r="20">
      <c r="A20" s="6" t="inlineStr">
        <is>
          <t>Build phase (waitlist)</t>
        </is>
      </c>
      <c r="B20" s="10" t="n">
        <v>20000</v>
      </c>
      <c r="C20" s="8" t="inlineStr">
        <is>
          <t>Waitlist page, Instagram, college groups</t>
        </is>
      </c>
    </row>
    <row r="21">
      <c r="A21" s="6" t="inlineStr">
        <is>
          <t>Closed beta</t>
        </is>
      </c>
      <c r="B21" s="10" t="n">
        <v>100000</v>
      </c>
      <c r="C21" s="8" t="inlineStr">
        <is>
          <t>Campus ambassadors, mixers, referral rewards</t>
        </is>
      </c>
    </row>
    <row r="22">
      <c r="A22" s="6" t="inlineStr">
        <is>
          <t>Bengaluru launch</t>
        </is>
      </c>
      <c r="B22" s="10" t="n">
        <v>120000</v>
      </c>
      <c r="C22" s="8" t="inlineStr">
        <is>
          <t>Paid social, events, creator collabs</t>
        </is>
      </c>
    </row>
    <row r="23">
      <c r="A23" s="6" t="inlineStr">
        <is>
          <t>Second city</t>
        </is>
      </c>
      <c r="B23" s="10" t="n">
        <v>150000</v>
      </c>
      <c r="C23" s="8" t="inlineStr">
        <is>
          <t>Launch in second city plus Bengaluru upkeep</t>
        </is>
      </c>
    </row>
    <row r="24">
      <c r="A24" s="4" t="inlineStr">
        <is>
          <t>Running costs</t>
        </is>
      </c>
      <c r="B24" s="5" t="n"/>
      <c r="C24" s="5" t="n"/>
    </row>
    <row r="25">
      <c r="A25" s="6" t="inlineStr">
        <is>
          <t>Infrastructure base (Firebase, Vercel Pro, Cloudinary, Sentry)</t>
        </is>
      </c>
      <c r="B25" s="10" t="n">
        <v>8000</v>
      </c>
      <c r="C25" s="8" t="inlineStr">
        <is>
          <t>Estimate; Vercel Pro is about US$20/month</t>
        </is>
      </c>
    </row>
    <row r="26">
      <c r="A26" s="6" t="inlineStr">
        <is>
          <t>Infrastructure per monthly active user</t>
        </is>
      </c>
      <c r="B26" s="10" t="n">
        <v>2</v>
      </c>
      <c r="C26" s="8" t="inlineStr">
        <is>
          <t>Estimate: Firestore reads, image delivery, push</t>
        </is>
      </c>
    </row>
    <row r="27">
      <c r="A27" s="6" t="inlineStr">
        <is>
          <t>Legal and company setup (one-time, month 1)</t>
        </is>
      </c>
      <c r="B27" s="10" t="n">
        <v>250000</v>
      </c>
      <c r="C27" s="8" t="inlineStr">
        <is>
          <t>Incorporation, terms and privacy review, DPDP and IT Rules setup, trademark</t>
        </is>
      </c>
    </row>
    <row r="28">
      <c r="A28" s="6" t="inlineStr">
        <is>
          <t>Accounting and compliance retainer</t>
        </is>
      </c>
      <c r="B28" s="10" t="n">
        <v>15000</v>
      </c>
      <c r="C28" s="8" t="inlineStr">
        <is>
          <t>CA retainer, GST filings</t>
        </is>
      </c>
    </row>
    <row r="29">
      <c r="A29" s="6" t="inlineStr">
        <is>
          <t>Tools, devices and misc</t>
        </is>
      </c>
      <c r="B29" s="10" t="n">
        <v>10000</v>
      </c>
      <c r="C29" s="8" t="inlineStr">
        <is>
          <t>Test phones, software subscriptions</t>
        </is>
      </c>
    </row>
    <row r="30">
      <c r="A30" s="4" t="inlineStr">
        <is>
          <t>Growth</t>
        </is>
      </c>
      <c r="B30" s="5" t="n"/>
      <c r="C30" s="5" t="n"/>
    </row>
    <row r="31">
      <c r="A31" s="6" t="inlineStr">
        <is>
          <t>New signups per month: closed beta</t>
        </is>
      </c>
      <c r="B31" s="9" t="n">
        <v>700</v>
      </c>
      <c r="C31" s="8" t="inlineStr">
        <is>
          <t>Invite-only; capped by manual photo review</t>
        </is>
      </c>
    </row>
    <row r="32">
      <c r="A32" s="6" t="inlineStr">
        <is>
          <t>New signups per month: Bengaluru launch</t>
        </is>
      </c>
      <c r="B32" s="11" t="n">
        <v>2000</v>
      </c>
      <c r="C32" s="8" t="inlineStr">
        <is>
          <t>Assumption to test in beta</t>
        </is>
      </c>
    </row>
    <row r="33">
      <c r="A33" s="6" t="inlineStr">
        <is>
          <t>New signups per month: second city</t>
        </is>
      </c>
      <c r="B33" s="9" t="n">
        <v>4500</v>
      </c>
      <c r="C33" s="8" t="inlineStr">
        <is>
          <t>Two cities combined</t>
        </is>
      </c>
    </row>
    <row r="34">
      <c r="A34" s="6" t="inlineStr">
        <is>
          <t>Monthly active users as % of total signups</t>
        </is>
      </c>
      <c r="B34" s="12" t="n">
        <v>0.4</v>
      </c>
      <c r="C34" s="8" t="inlineStr">
        <is>
          <t>Assumption</t>
        </is>
      </c>
    </row>
    <row r="35">
      <c r="A35" s="6" t="inlineStr">
        <is>
          <t>Paying users as % of monthly active users</t>
        </is>
      </c>
      <c r="B35" s="13" t="n">
        <v>0.05</v>
      </c>
      <c r="C35" s="8" t="inlineStr">
        <is>
          <t>Low end of the 5–15% Redseer reports for Indian dating apps (Dec 2025)</t>
        </is>
      </c>
    </row>
    <row r="36">
      <c r="A36" s="6" t="inlineStr">
        <is>
          <t>Average revenue per paying user per month (incl. GST)</t>
        </is>
      </c>
      <c r="B36" s="7" t="n">
        <v>199</v>
      </c>
      <c r="C36" s="8" t="inlineStr">
        <is>
          <t>Blend of weekly (~₹49) and monthly (~₹149–199) passes. Aisle sells weekly plans from ₹99 (2025)</t>
        </is>
      </c>
    </row>
    <row r="37">
      <c r="A37" s="6" t="inlineStr">
        <is>
          <t>GST on subscriptions</t>
        </is>
      </c>
      <c r="B37" s="12" t="n">
        <v>0.18</v>
      </c>
      <c r="C37" s="8" t="inlineStr">
        <is>
          <t>18% GST on online services; prices are GST-inclusive</t>
        </is>
      </c>
    </row>
    <row r="38">
      <c r="A38" s="6" t="inlineStr">
        <is>
          <t>Payment gateway fee (Razorpay)</t>
        </is>
      </c>
      <c r="B38" s="12" t="n">
        <v>0.02</v>
      </c>
      <c r="C38" s="8" t="inlineStr">
        <is>
          <t>Standard Razorpay fee is about 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Monthly plan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3" t="inlineStr">
        <is>
          <t>Calculated from the Assumptions sheet. Don't type here; change the inputs instead.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14" t="inlineStr">
        <is>
          <t>Month</t>
        </is>
      </c>
      <c r="B4" s="15" t="n">
        <v>1</v>
      </c>
      <c r="C4" s="15" t="n">
        <v>2</v>
      </c>
      <c r="D4" s="15" t="n">
        <v>3</v>
      </c>
      <c r="E4" s="15" t="n">
        <v>4</v>
      </c>
      <c r="F4" s="15" t="n">
        <v>5</v>
      </c>
      <c r="G4" s="15" t="n">
        <v>6</v>
      </c>
      <c r="H4" s="15" t="n">
        <v>7</v>
      </c>
      <c r="I4" s="15" t="n">
        <v>8</v>
      </c>
      <c r="J4" s="15" t="n">
        <v>9</v>
      </c>
      <c r="K4" s="15" t="n">
        <v>10</v>
      </c>
      <c r="L4" s="15" t="n">
        <v>11</v>
      </c>
      <c r="M4" s="15" t="n">
        <v>12</v>
      </c>
      <c r="N4" s="15" t="n">
        <v>13</v>
      </c>
      <c r="O4" s="15" t="n">
        <v>14</v>
      </c>
      <c r="P4" s="15" t="n">
        <v>15</v>
      </c>
      <c r="Q4" s="15" t="n">
        <v>16</v>
      </c>
      <c r="R4" s="15" t="n">
        <v>17</v>
      </c>
      <c r="S4" s="15" t="n">
        <v>18</v>
      </c>
      <c r="T4" s="14" t="inlineStr">
        <is>
          <t>Total</t>
        </is>
      </c>
    </row>
    <row r="5">
      <c r="A5" s="6" t="inlineStr">
        <is>
          <t>Phase</t>
        </is>
      </c>
      <c r="B5" s="16">
        <f>IF(B$4&lt;=Assumptions!$B$7,"Build",IF(B$4&lt;=Assumptions!$B$8,"Closed beta",IF(B$4&lt;=Assumptions!$B$9,"Bengaluru","City 2")))</f>
        <v/>
      </c>
      <c r="C5" s="16">
        <f>IF(C$4&lt;=Assumptions!$B$7,"Build",IF(C$4&lt;=Assumptions!$B$8,"Closed beta",IF(C$4&lt;=Assumptions!$B$9,"Bengaluru","City 2")))</f>
        <v/>
      </c>
      <c r="D5" s="16">
        <f>IF(D$4&lt;=Assumptions!$B$7,"Build",IF(D$4&lt;=Assumptions!$B$8,"Closed beta",IF(D$4&lt;=Assumptions!$B$9,"Bengaluru","City 2")))</f>
        <v/>
      </c>
      <c r="E5" s="16">
        <f>IF(E$4&lt;=Assumptions!$B$7,"Build",IF(E$4&lt;=Assumptions!$B$8,"Closed beta",IF(E$4&lt;=Assumptions!$B$9,"Bengaluru","City 2")))</f>
        <v/>
      </c>
      <c r="F5" s="16">
        <f>IF(F$4&lt;=Assumptions!$B$7,"Build",IF(F$4&lt;=Assumptions!$B$8,"Closed beta",IF(F$4&lt;=Assumptions!$B$9,"Bengaluru","City 2")))</f>
        <v/>
      </c>
      <c r="G5" s="16">
        <f>IF(G$4&lt;=Assumptions!$B$7,"Build",IF(G$4&lt;=Assumptions!$B$8,"Closed beta",IF(G$4&lt;=Assumptions!$B$9,"Bengaluru","City 2")))</f>
        <v/>
      </c>
      <c r="H5" s="16">
        <f>IF(H$4&lt;=Assumptions!$B$7,"Build",IF(H$4&lt;=Assumptions!$B$8,"Closed beta",IF(H$4&lt;=Assumptions!$B$9,"Bengaluru","City 2")))</f>
        <v/>
      </c>
      <c r="I5" s="16">
        <f>IF(I$4&lt;=Assumptions!$B$7,"Build",IF(I$4&lt;=Assumptions!$B$8,"Closed beta",IF(I$4&lt;=Assumptions!$B$9,"Bengaluru","City 2")))</f>
        <v/>
      </c>
      <c r="J5" s="16">
        <f>IF(J$4&lt;=Assumptions!$B$7,"Build",IF(J$4&lt;=Assumptions!$B$8,"Closed beta",IF(J$4&lt;=Assumptions!$B$9,"Bengaluru","City 2")))</f>
        <v/>
      </c>
      <c r="K5" s="16">
        <f>IF(K$4&lt;=Assumptions!$B$7,"Build",IF(K$4&lt;=Assumptions!$B$8,"Closed beta",IF(K$4&lt;=Assumptions!$B$9,"Bengaluru","City 2")))</f>
        <v/>
      </c>
      <c r="L5" s="16">
        <f>IF(L$4&lt;=Assumptions!$B$7,"Build",IF(L$4&lt;=Assumptions!$B$8,"Closed beta",IF(L$4&lt;=Assumptions!$B$9,"Bengaluru","City 2")))</f>
        <v/>
      </c>
      <c r="M5" s="16">
        <f>IF(M$4&lt;=Assumptions!$B$7,"Build",IF(M$4&lt;=Assumptions!$B$8,"Closed beta",IF(M$4&lt;=Assumptions!$B$9,"Bengaluru","City 2")))</f>
        <v/>
      </c>
      <c r="N5" s="16">
        <f>IF(N$4&lt;=Assumptions!$B$7,"Build",IF(N$4&lt;=Assumptions!$B$8,"Closed beta",IF(N$4&lt;=Assumptions!$B$9,"Bengaluru","City 2")))</f>
        <v/>
      </c>
      <c r="O5" s="16">
        <f>IF(O$4&lt;=Assumptions!$B$7,"Build",IF(O$4&lt;=Assumptions!$B$8,"Closed beta",IF(O$4&lt;=Assumptions!$B$9,"Bengaluru","City 2")))</f>
        <v/>
      </c>
      <c r="P5" s="16">
        <f>IF(P$4&lt;=Assumptions!$B$7,"Build",IF(P$4&lt;=Assumptions!$B$8,"Closed beta",IF(P$4&lt;=Assumptions!$B$9,"Bengaluru","City 2")))</f>
        <v/>
      </c>
      <c r="Q5" s="16">
        <f>IF(Q$4&lt;=Assumptions!$B$7,"Build",IF(Q$4&lt;=Assumptions!$B$8,"Closed beta",IF(Q$4&lt;=Assumptions!$B$9,"Bengaluru","City 2")))</f>
        <v/>
      </c>
      <c r="R5" s="16">
        <f>IF(R$4&lt;=Assumptions!$B$7,"Build",IF(R$4&lt;=Assumptions!$B$8,"Closed beta",IF(R$4&lt;=Assumptions!$B$9,"Bengaluru","City 2")))</f>
        <v/>
      </c>
      <c r="S5" s="16">
        <f>IF(S$4&lt;=Assumptions!$B$7,"Build",IF(S$4&lt;=Assumptions!$B$8,"Closed beta",IF(S$4&lt;=Assumptions!$B$9,"Bengaluru","City 2")))</f>
        <v/>
      </c>
      <c r="T5" s="2" t="n"/>
    </row>
    <row r="6">
      <c r="A6" s="4" t="inlineStr">
        <is>
          <t>Costs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6" t="inlineStr">
        <is>
          <t>Founder</t>
        </is>
      </c>
      <c r="B7" s="17">
        <f>Assumptions!$B$12</f>
        <v/>
      </c>
      <c r="C7" s="17">
        <f>Assumptions!$B$12</f>
        <v/>
      </c>
      <c r="D7" s="17">
        <f>Assumptions!$B$12</f>
        <v/>
      </c>
      <c r="E7" s="17">
        <f>Assumptions!$B$12</f>
        <v/>
      </c>
      <c r="F7" s="17">
        <f>Assumptions!$B$12</f>
        <v/>
      </c>
      <c r="G7" s="17">
        <f>Assumptions!$B$12</f>
        <v/>
      </c>
      <c r="H7" s="17">
        <f>Assumptions!$B$12</f>
        <v/>
      </c>
      <c r="I7" s="17">
        <f>Assumptions!$B$12</f>
        <v/>
      </c>
      <c r="J7" s="17">
        <f>Assumptions!$B$12</f>
        <v/>
      </c>
      <c r="K7" s="17">
        <f>Assumptions!$B$12</f>
        <v/>
      </c>
      <c r="L7" s="17">
        <f>Assumptions!$B$12</f>
        <v/>
      </c>
      <c r="M7" s="17">
        <f>Assumptions!$B$12</f>
        <v/>
      </c>
      <c r="N7" s="17">
        <f>Assumptions!$B$12</f>
        <v/>
      </c>
      <c r="O7" s="17">
        <f>Assumptions!$B$12</f>
        <v/>
      </c>
      <c r="P7" s="17">
        <f>Assumptions!$B$12</f>
        <v/>
      </c>
      <c r="Q7" s="17">
        <f>Assumptions!$B$12</f>
        <v/>
      </c>
      <c r="R7" s="17">
        <f>Assumptions!$B$12</f>
        <v/>
      </c>
      <c r="S7" s="17">
        <f>Assumptions!$B$12</f>
        <v/>
      </c>
      <c r="T7" s="18">
        <f>SUM(B7:S7)</f>
        <v/>
      </c>
    </row>
    <row r="8">
      <c r="A8" s="6" t="inlineStr">
        <is>
          <t>Full-stack developer</t>
        </is>
      </c>
      <c r="B8" s="19">
        <f>IF(B$4&gt;=Assumptions!$B$13,Assumptions!$B$14,0)</f>
        <v/>
      </c>
      <c r="C8" s="19">
        <f>IF(C$4&gt;=Assumptions!$B$13,Assumptions!$B$14,0)</f>
        <v/>
      </c>
      <c r="D8" s="19">
        <f>IF(D$4&gt;=Assumptions!$B$13,Assumptions!$B$14,0)</f>
        <v/>
      </c>
      <c r="E8" s="19">
        <f>IF(E$4&gt;=Assumptions!$B$13,Assumptions!$B$14,0)</f>
        <v/>
      </c>
      <c r="F8" s="19">
        <f>IF(F$4&gt;=Assumptions!$B$13,Assumptions!$B$14,0)</f>
        <v/>
      </c>
      <c r="G8" s="19">
        <f>IF(G$4&gt;=Assumptions!$B$13,Assumptions!$B$14,0)</f>
        <v/>
      </c>
      <c r="H8" s="19">
        <f>IF(H$4&gt;=Assumptions!$B$13,Assumptions!$B$14,0)</f>
        <v/>
      </c>
      <c r="I8" s="19">
        <f>IF(I$4&gt;=Assumptions!$B$13,Assumptions!$B$14,0)</f>
        <v/>
      </c>
      <c r="J8" s="19">
        <f>IF(J$4&gt;=Assumptions!$B$13,Assumptions!$B$14,0)</f>
        <v/>
      </c>
      <c r="K8" s="19">
        <f>IF(K$4&gt;=Assumptions!$B$13,Assumptions!$B$14,0)</f>
        <v/>
      </c>
      <c r="L8" s="19">
        <f>IF(L$4&gt;=Assumptions!$B$13,Assumptions!$B$14,0)</f>
        <v/>
      </c>
      <c r="M8" s="19">
        <f>IF(M$4&gt;=Assumptions!$B$13,Assumptions!$B$14,0)</f>
        <v/>
      </c>
      <c r="N8" s="19">
        <f>IF(N$4&gt;=Assumptions!$B$13,Assumptions!$B$14,0)</f>
        <v/>
      </c>
      <c r="O8" s="19">
        <f>IF(O$4&gt;=Assumptions!$B$13,Assumptions!$B$14,0)</f>
        <v/>
      </c>
      <c r="P8" s="19">
        <f>IF(P$4&gt;=Assumptions!$B$13,Assumptions!$B$14,0)</f>
        <v/>
      </c>
      <c r="Q8" s="19">
        <f>IF(Q$4&gt;=Assumptions!$B$13,Assumptions!$B$14,0)</f>
        <v/>
      </c>
      <c r="R8" s="19">
        <f>IF(R$4&gt;=Assumptions!$B$13,Assumptions!$B$14,0)</f>
        <v/>
      </c>
      <c r="S8" s="19">
        <f>IF(S$4&gt;=Assumptions!$B$13,Assumptions!$B$14,0)</f>
        <v/>
      </c>
      <c r="T8" s="18">
        <f>SUM(B8:S8)</f>
        <v/>
      </c>
    </row>
    <row r="9">
      <c r="A9" s="6" t="inlineStr">
        <is>
          <t>Community and safety lead</t>
        </is>
      </c>
      <c r="B9" s="19">
        <f>IF(B$4&gt;=Assumptions!$B$15,Assumptions!$B$16,0)</f>
        <v/>
      </c>
      <c r="C9" s="19">
        <f>IF(C$4&gt;=Assumptions!$B$15,Assumptions!$B$16,0)</f>
        <v/>
      </c>
      <c r="D9" s="19">
        <f>IF(D$4&gt;=Assumptions!$B$15,Assumptions!$B$16,0)</f>
        <v/>
      </c>
      <c r="E9" s="19">
        <f>IF(E$4&gt;=Assumptions!$B$15,Assumptions!$B$16,0)</f>
        <v/>
      </c>
      <c r="F9" s="19">
        <f>IF(F$4&gt;=Assumptions!$B$15,Assumptions!$B$16,0)</f>
        <v/>
      </c>
      <c r="G9" s="19">
        <f>IF(G$4&gt;=Assumptions!$B$15,Assumptions!$B$16,0)</f>
        <v/>
      </c>
      <c r="H9" s="19">
        <f>IF(H$4&gt;=Assumptions!$B$15,Assumptions!$B$16,0)</f>
        <v/>
      </c>
      <c r="I9" s="19">
        <f>IF(I$4&gt;=Assumptions!$B$15,Assumptions!$B$16,0)</f>
        <v/>
      </c>
      <c r="J9" s="19">
        <f>IF(J$4&gt;=Assumptions!$B$15,Assumptions!$B$16,0)</f>
        <v/>
      </c>
      <c r="K9" s="19">
        <f>IF(K$4&gt;=Assumptions!$B$15,Assumptions!$B$16,0)</f>
        <v/>
      </c>
      <c r="L9" s="19">
        <f>IF(L$4&gt;=Assumptions!$B$15,Assumptions!$B$16,0)</f>
        <v/>
      </c>
      <c r="M9" s="19">
        <f>IF(M$4&gt;=Assumptions!$B$15,Assumptions!$B$16,0)</f>
        <v/>
      </c>
      <c r="N9" s="19">
        <f>IF(N$4&gt;=Assumptions!$B$15,Assumptions!$B$16,0)</f>
        <v/>
      </c>
      <c r="O9" s="19">
        <f>IF(O$4&gt;=Assumptions!$B$15,Assumptions!$B$16,0)</f>
        <v/>
      </c>
      <c r="P9" s="19">
        <f>IF(P$4&gt;=Assumptions!$B$15,Assumptions!$B$16,0)</f>
        <v/>
      </c>
      <c r="Q9" s="19">
        <f>IF(Q$4&gt;=Assumptions!$B$15,Assumptions!$B$16,0)</f>
        <v/>
      </c>
      <c r="R9" s="19">
        <f>IF(R$4&gt;=Assumptions!$B$15,Assumptions!$B$16,0)</f>
        <v/>
      </c>
      <c r="S9" s="19">
        <f>IF(S$4&gt;=Assumptions!$B$15,Assumptions!$B$16,0)</f>
        <v/>
      </c>
      <c r="T9" s="18">
        <f>SUM(B9:S9)</f>
        <v/>
      </c>
    </row>
    <row r="10">
      <c r="A10" s="6" t="inlineStr">
        <is>
          <t>Content writer</t>
        </is>
      </c>
      <c r="B10" s="19">
        <f>IF(B$4&gt;=Assumptions!$B$17,Assumptions!$B$18,0)</f>
        <v/>
      </c>
      <c r="C10" s="19">
        <f>IF(C$4&gt;=Assumptions!$B$17,Assumptions!$B$18,0)</f>
        <v/>
      </c>
      <c r="D10" s="19">
        <f>IF(D$4&gt;=Assumptions!$B$17,Assumptions!$B$18,0)</f>
        <v/>
      </c>
      <c r="E10" s="19">
        <f>IF(E$4&gt;=Assumptions!$B$17,Assumptions!$B$18,0)</f>
        <v/>
      </c>
      <c r="F10" s="19">
        <f>IF(F$4&gt;=Assumptions!$B$17,Assumptions!$B$18,0)</f>
        <v/>
      </c>
      <c r="G10" s="19">
        <f>IF(G$4&gt;=Assumptions!$B$17,Assumptions!$B$18,0)</f>
        <v/>
      </c>
      <c r="H10" s="19">
        <f>IF(H$4&gt;=Assumptions!$B$17,Assumptions!$B$18,0)</f>
        <v/>
      </c>
      <c r="I10" s="19">
        <f>IF(I$4&gt;=Assumptions!$B$17,Assumptions!$B$18,0)</f>
        <v/>
      </c>
      <c r="J10" s="19">
        <f>IF(J$4&gt;=Assumptions!$B$17,Assumptions!$B$18,0)</f>
        <v/>
      </c>
      <c r="K10" s="19">
        <f>IF(K$4&gt;=Assumptions!$B$17,Assumptions!$B$18,0)</f>
        <v/>
      </c>
      <c r="L10" s="19">
        <f>IF(L$4&gt;=Assumptions!$B$17,Assumptions!$B$18,0)</f>
        <v/>
      </c>
      <c r="M10" s="19">
        <f>IF(M$4&gt;=Assumptions!$B$17,Assumptions!$B$18,0)</f>
        <v/>
      </c>
      <c r="N10" s="19">
        <f>IF(N$4&gt;=Assumptions!$B$17,Assumptions!$B$18,0)</f>
        <v/>
      </c>
      <c r="O10" s="19">
        <f>IF(O$4&gt;=Assumptions!$B$17,Assumptions!$B$18,0)</f>
        <v/>
      </c>
      <c r="P10" s="19">
        <f>IF(P$4&gt;=Assumptions!$B$17,Assumptions!$B$18,0)</f>
        <v/>
      </c>
      <c r="Q10" s="19">
        <f>IF(Q$4&gt;=Assumptions!$B$17,Assumptions!$B$18,0)</f>
        <v/>
      </c>
      <c r="R10" s="19">
        <f>IF(R$4&gt;=Assumptions!$B$17,Assumptions!$B$18,0)</f>
        <v/>
      </c>
      <c r="S10" s="19">
        <f>IF(S$4&gt;=Assumptions!$B$17,Assumptions!$B$18,0)</f>
        <v/>
      </c>
      <c r="T10" s="18">
        <f>SUM(B10:S10)</f>
        <v/>
      </c>
    </row>
    <row r="11">
      <c r="A11" s="6" t="inlineStr">
        <is>
          <t>Marketing</t>
        </is>
      </c>
      <c r="B11" s="19">
        <f>IF(B$4&lt;=Assumptions!$B$7,Assumptions!$B$20,IF(B$4&lt;=Assumptions!$B$8,Assumptions!$B$21,IF(B$4&lt;=Assumptions!$B$9,Assumptions!$B$22,Assumptions!$B$23)))</f>
        <v/>
      </c>
      <c r="C11" s="19">
        <f>IF(C$4&lt;=Assumptions!$B$7,Assumptions!$B$20,IF(C$4&lt;=Assumptions!$B$8,Assumptions!$B$21,IF(C$4&lt;=Assumptions!$B$9,Assumptions!$B$22,Assumptions!$B$23)))</f>
        <v/>
      </c>
      <c r="D11" s="19">
        <f>IF(D$4&lt;=Assumptions!$B$7,Assumptions!$B$20,IF(D$4&lt;=Assumptions!$B$8,Assumptions!$B$21,IF(D$4&lt;=Assumptions!$B$9,Assumptions!$B$22,Assumptions!$B$23)))</f>
        <v/>
      </c>
      <c r="E11" s="19">
        <f>IF(E$4&lt;=Assumptions!$B$7,Assumptions!$B$20,IF(E$4&lt;=Assumptions!$B$8,Assumptions!$B$21,IF(E$4&lt;=Assumptions!$B$9,Assumptions!$B$22,Assumptions!$B$23)))</f>
        <v/>
      </c>
      <c r="F11" s="19">
        <f>IF(F$4&lt;=Assumptions!$B$7,Assumptions!$B$20,IF(F$4&lt;=Assumptions!$B$8,Assumptions!$B$21,IF(F$4&lt;=Assumptions!$B$9,Assumptions!$B$22,Assumptions!$B$23)))</f>
        <v/>
      </c>
      <c r="G11" s="19">
        <f>IF(G$4&lt;=Assumptions!$B$7,Assumptions!$B$20,IF(G$4&lt;=Assumptions!$B$8,Assumptions!$B$21,IF(G$4&lt;=Assumptions!$B$9,Assumptions!$B$22,Assumptions!$B$23)))</f>
        <v/>
      </c>
      <c r="H11" s="19">
        <f>IF(H$4&lt;=Assumptions!$B$7,Assumptions!$B$20,IF(H$4&lt;=Assumptions!$B$8,Assumptions!$B$21,IF(H$4&lt;=Assumptions!$B$9,Assumptions!$B$22,Assumptions!$B$23)))</f>
        <v/>
      </c>
      <c r="I11" s="19">
        <f>IF(I$4&lt;=Assumptions!$B$7,Assumptions!$B$20,IF(I$4&lt;=Assumptions!$B$8,Assumptions!$B$21,IF(I$4&lt;=Assumptions!$B$9,Assumptions!$B$22,Assumptions!$B$23)))</f>
        <v/>
      </c>
      <c r="J11" s="19">
        <f>IF(J$4&lt;=Assumptions!$B$7,Assumptions!$B$20,IF(J$4&lt;=Assumptions!$B$8,Assumptions!$B$21,IF(J$4&lt;=Assumptions!$B$9,Assumptions!$B$22,Assumptions!$B$23)))</f>
        <v/>
      </c>
      <c r="K11" s="19">
        <f>IF(K$4&lt;=Assumptions!$B$7,Assumptions!$B$20,IF(K$4&lt;=Assumptions!$B$8,Assumptions!$B$21,IF(K$4&lt;=Assumptions!$B$9,Assumptions!$B$22,Assumptions!$B$23)))</f>
        <v/>
      </c>
      <c r="L11" s="19">
        <f>IF(L$4&lt;=Assumptions!$B$7,Assumptions!$B$20,IF(L$4&lt;=Assumptions!$B$8,Assumptions!$B$21,IF(L$4&lt;=Assumptions!$B$9,Assumptions!$B$22,Assumptions!$B$23)))</f>
        <v/>
      </c>
      <c r="M11" s="19">
        <f>IF(M$4&lt;=Assumptions!$B$7,Assumptions!$B$20,IF(M$4&lt;=Assumptions!$B$8,Assumptions!$B$21,IF(M$4&lt;=Assumptions!$B$9,Assumptions!$B$22,Assumptions!$B$23)))</f>
        <v/>
      </c>
      <c r="N11" s="19">
        <f>IF(N$4&lt;=Assumptions!$B$7,Assumptions!$B$20,IF(N$4&lt;=Assumptions!$B$8,Assumptions!$B$21,IF(N$4&lt;=Assumptions!$B$9,Assumptions!$B$22,Assumptions!$B$23)))</f>
        <v/>
      </c>
      <c r="O11" s="19">
        <f>IF(O$4&lt;=Assumptions!$B$7,Assumptions!$B$20,IF(O$4&lt;=Assumptions!$B$8,Assumptions!$B$21,IF(O$4&lt;=Assumptions!$B$9,Assumptions!$B$22,Assumptions!$B$23)))</f>
        <v/>
      </c>
      <c r="P11" s="19">
        <f>IF(P$4&lt;=Assumptions!$B$7,Assumptions!$B$20,IF(P$4&lt;=Assumptions!$B$8,Assumptions!$B$21,IF(P$4&lt;=Assumptions!$B$9,Assumptions!$B$22,Assumptions!$B$23)))</f>
        <v/>
      </c>
      <c r="Q11" s="19">
        <f>IF(Q$4&lt;=Assumptions!$B$7,Assumptions!$B$20,IF(Q$4&lt;=Assumptions!$B$8,Assumptions!$B$21,IF(Q$4&lt;=Assumptions!$B$9,Assumptions!$B$22,Assumptions!$B$23)))</f>
        <v/>
      </c>
      <c r="R11" s="19">
        <f>IF(R$4&lt;=Assumptions!$B$7,Assumptions!$B$20,IF(R$4&lt;=Assumptions!$B$8,Assumptions!$B$21,IF(R$4&lt;=Assumptions!$B$9,Assumptions!$B$22,Assumptions!$B$23)))</f>
        <v/>
      </c>
      <c r="S11" s="19">
        <f>IF(S$4&lt;=Assumptions!$B$7,Assumptions!$B$20,IF(S$4&lt;=Assumptions!$B$8,Assumptions!$B$21,IF(S$4&lt;=Assumptions!$B$9,Assumptions!$B$22,Assumptions!$B$23)))</f>
        <v/>
      </c>
      <c r="T11" s="18">
        <f>SUM(B11:S11)</f>
        <v/>
      </c>
    </row>
    <row r="12">
      <c r="A12" s="6" t="inlineStr">
        <is>
          <t>Infrastructure</t>
        </is>
      </c>
      <c r="B12" s="19">
        <f>Assumptions!$B$25+Assumptions!$B$26*B19</f>
        <v/>
      </c>
      <c r="C12" s="19">
        <f>Assumptions!$B$25+Assumptions!$B$26*C19</f>
        <v/>
      </c>
      <c r="D12" s="19">
        <f>Assumptions!$B$25+Assumptions!$B$26*D19</f>
        <v/>
      </c>
      <c r="E12" s="19">
        <f>Assumptions!$B$25+Assumptions!$B$26*E19</f>
        <v/>
      </c>
      <c r="F12" s="19">
        <f>Assumptions!$B$25+Assumptions!$B$26*F19</f>
        <v/>
      </c>
      <c r="G12" s="19">
        <f>Assumptions!$B$25+Assumptions!$B$26*G19</f>
        <v/>
      </c>
      <c r="H12" s="19">
        <f>Assumptions!$B$25+Assumptions!$B$26*H19</f>
        <v/>
      </c>
      <c r="I12" s="19">
        <f>Assumptions!$B$25+Assumptions!$B$26*I19</f>
        <v/>
      </c>
      <c r="J12" s="19">
        <f>Assumptions!$B$25+Assumptions!$B$26*J19</f>
        <v/>
      </c>
      <c r="K12" s="19">
        <f>Assumptions!$B$25+Assumptions!$B$26*K19</f>
        <v/>
      </c>
      <c r="L12" s="19">
        <f>Assumptions!$B$25+Assumptions!$B$26*L19</f>
        <v/>
      </c>
      <c r="M12" s="19">
        <f>Assumptions!$B$25+Assumptions!$B$26*M19</f>
        <v/>
      </c>
      <c r="N12" s="19">
        <f>Assumptions!$B$25+Assumptions!$B$26*N19</f>
        <v/>
      </c>
      <c r="O12" s="19">
        <f>Assumptions!$B$25+Assumptions!$B$26*O19</f>
        <v/>
      </c>
      <c r="P12" s="19">
        <f>Assumptions!$B$25+Assumptions!$B$26*P19</f>
        <v/>
      </c>
      <c r="Q12" s="19">
        <f>Assumptions!$B$25+Assumptions!$B$26*Q19</f>
        <v/>
      </c>
      <c r="R12" s="19">
        <f>Assumptions!$B$25+Assumptions!$B$26*R19</f>
        <v/>
      </c>
      <c r="S12" s="19">
        <f>Assumptions!$B$25+Assumptions!$B$26*S19</f>
        <v/>
      </c>
      <c r="T12" s="18">
        <f>SUM(B12:S12)</f>
        <v/>
      </c>
    </row>
    <row r="13">
      <c r="A13" s="6" t="inlineStr">
        <is>
          <t>Legal, accounting and compliance</t>
        </is>
      </c>
      <c r="B13" s="19">
        <f>IF(B$4=1,Assumptions!$B$27,0)+Assumptions!$B$28</f>
        <v/>
      </c>
      <c r="C13" s="19">
        <f>IF(C$4=1,Assumptions!$B$27,0)+Assumptions!$B$28</f>
        <v/>
      </c>
      <c r="D13" s="19">
        <f>IF(D$4=1,Assumptions!$B$27,0)+Assumptions!$B$28</f>
        <v/>
      </c>
      <c r="E13" s="19">
        <f>IF(E$4=1,Assumptions!$B$27,0)+Assumptions!$B$28</f>
        <v/>
      </c>
      <c r="F13" s="19">
        <f>IF(F$4=1,Assumptions!$B$27,0)+Assumptions!$B$28</f>
        <v/>
      </c>
      <c r="G13" s="19">
        <f>IF(G$4=1,Assumptions!$B$27,0)+Assumptions!$B$28</f>
        <v/>
      </c>
      <c r="H13" s="19">
        <f>IF(H$4=1,Assumptions!$B$27,0)+Assumptions!$B$28</f>
        <v/>
      </c>
      <c r="I13" s="19">
        <f>IF(I$4=1,Assumptions!$B$27,0)+Assumptions!$B$28</f>
        <v/>
      </c>
      <c r="J13" s="19">
        <f>IF(J$4=1,Assumptions!$B$27,0)+Assumptions!$B$28</f>
        <v/>
      </c>
      <c r="K13" s="19">
        <f>IF(K$4=1,Assumptions!$B$27,0)+Assumptions!$B$28</f>
        <v/>
      </c>
      <c r="L13" s="19">
        <f>IF(L$4=1,Assumptions!$B$27,0)+Assumptions!$B$28</f>
        <v/>
      </c>
      <c r="M13" s="19">
        <f>IF(M$4=1,Assumptions!$B$27,0)+Assumptions!$B$28</f>
        <v/>
      </c>
      <c r="N13" s="19">
        <f>IF(N$4=1,Assumptions!$B$27,0)+Assumptions!$B$28</f>
        <v/>
      </c>
      <c r="O13" s="19">
        <f>IF(O$4=1,Assumptions!$B$27,0)+Assumptions!$B$28</f>
        <v/>
      </c>
      <c r="P13" s="19">
        <f>IF(P$4=1,Assumptions!$B$27,0)+Assumptions!$B$28</f>
        <v/>
      </c>
      <c r="Q13" s="19">
        <f>IF(Q$4=1,Assumptions!$B$27,0)+Assumptions!$B$28</f>
        <v/>
      </c>
      <c r="R13" s="19">
        <f>IF(R$4=1,Assumptions!$B$27,0)+Assumptions!$B$28</f>
        <v/>
      </c>
      <c r="S13" s="19">
        <f>IF(S$4=1,Assumptions!$B$27,0)+Assumptions!$B$28</f>
        <v/>
      </c>
      <c r="T13" s="18">
        <f>SUM(B13:S13)</f>
        <v/>
      </c>
    </row>
    <row r="14">
      <c r="A14" s="6" t="inlineStr">
        <is>
          <t>Tools, devices and misc</t>
        </is>
      </c>
      <c r="B14" s="17">
        <f>Assumptions!$B$29</f>
        <v/>
      </c>
      <c r="C14" s="17">
        <f>Assumptions!$B$29</f>
        <v/>
      </c>
      <c r="D14" s="17">
        <f>Assumptions!$B$29</f>
        <v/>
      </c>
      <c r="E14" s="17">
        <f>Assumptions!$B$29</f>
        <v/>
      </c>
      <c r="F14" s="17">
        <f>Assumptions!$B$29</f>
        <v/>
      </c>
      <c r="G14" s="17">
        <f>Assumptions!$B$29</f>
        <v/>
      </c>
      <c r="H14" s="17">
        <f>Assumptions!$B$29</f>
        <v/>
      </c>
      <c r="I14" s="17">
        <f>Assumptions!$B$29</f>
        <v/>
      </c>
      <c r="J14" s="17">
        <f>Assumptions!$B$29</f>
        <v/>
      </c>
      <c r="K14" s="17">
        <f>Assumptions!$B$29</f>
        <v/>
      </c>
      <c r="L14" s="17">
        <f>Assumptions!$B$29</f>
        <v/>
      </c>
      <c r="M14" s="17">
        <f>Assumptions!$B$29</f>
        <v/>
      </c>
      <c r="N14" s="17">
        <f>Assumptions!$B$29</f>
        <v/>
      </c>
      <c r="O14" s="17">
        <f>Assumptions!$B$29</f>
        <v/>
      </c>
      <c r="P14" s="17">
        <f>Assumptions!$B$29</f>
        <v/>
      </c>
      <c r="Q14" s="17">
        <f>Assumptions!$B$29</f>
        <v/>
      </c>
      <c r="R14" s="17">
        <f>Assumptions!$B$29</f>
        <v/>
      </c>
      <c r="S14" s="17">
        <f>Assumptions!$B$29</f>
        <v/>
      </c>
      <c r="T14" s="18">
        <f>SUM(B14:S14)</f>
        <v/>
      </c>
    </row>
    <row r="15">
      <c r="A15" s="20" t="inlineStr">
        <is>
          <t>Total costs</t>
        </is>
      </c>
      <c r="B15" s="18">
        <f>B7+B8+B9+B10+B11+B13+B14+B12</f>
        <v/>
      </c>
      <c r="C15" s="18">
        <f>C7+C8+C9+C10+C11+C13+C14+C12</f>
        <v/>
      </c>
      <c r="D15" s="18">
        <f>D7+D8+D9+D10+D11+D13+D14+D12</f>
        <v/>
      </c>
      <c r="E15" s="18">
        <f>E7+E8+E9+E10+E11+E13+E14+E12</f>
        <v/>
      </c>
      <c r="F15" s="18">
        <f>F7+F8+F9+F10+F11+F13+F14+F12</f>
        <v/>
      </c>
      <c r="G15" s="18">
        <f>G7+G8+G9+G10+G11+G13+G14+G12</f>
        <v/>
      </c>
      <c r="H15" s="18">
        <f>H7+H8+H9+H10+H11+H13+H14+H12</f>
        <v/>
      </c>
      <c r="I15" s="18">
        <f>I7+I8+I9+I10+I11+I13+I14+I12</f>
        <v/>
      </c>
      <c r="J15" s="18">
        <f>J7+J8+J9+J10+J11+J13+J14+J12</f>
        <v/>
      </c>
      <c r="K15" s="18">
        <f>K7+K8+K9+K10+K11+K13+K14+K12</f>
        <v/>
      </c>
      <c r="L15" s="18">
        <f>L7+L8+L9+L10+L11+L13+L14+L12</f>
        <v/>
      </c>
      <c r="M15" s="18">
        <f>M7+M8+M9+M10+M11+M13+M14+M12</f>
        <v/>
      </c>
      <c r="N15" s="18">
        <f>N7+N8+N9+N10+N11+N13+N14+N12</f>
        <v/>
      </c>
      <c r="O15" s="18">
        <f>O7+O8+O9+O10+O11+O13+O14+O12</f>
        <v/>
      </c>
      <c r="P15" s="18">
        <f>P7+P8+P9+P10+P11+P13+P14+P12</f>
        <v/>
      </c>
      <c r="Q15" s="18">
        <f>Q7+Q8+Q9+Q10+Q11+Q13+Q14+Q12</f>
        <v/>
      </c>
      <c r="R15" s="18">
        <f>R7+R8+R9+R10+R11+R13+R14+R12</f>
        <v/>
      </c>
      <c r="S15" s="18">
        <f>S7+S8+S9+S10+S11+S13+S14+S12</f>
        <v/>
      </c>
      <c r="T15" s="18">
        <f>SUM(B15:S15)</f>
        <v/>
      </c>
    </row>
    <row r="16">
      <c r="A16" s="4" t="inlineStr">
        <is>
          <t>Users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6" t="inlineStr">
        <is>
          <t>New signups</t>
        </is>
      </c>
      <c r="B17" s="21">
        <f>IF(B$4&lt;=Assumptions!$B$7,0,IF(B$4&lt;=Assumptions!$B$8,Assumptions!$B$31,IF(B$4&lt;=Assumptions!$B$9,Assumptions!$B$32,Assumptions!$B$33)))</f>
        <v/>
      </c>
      <c r="C17" s="21">
        <f>IF(C$4&lt;=Assumptions!$B$7,0,IF(C$4&lt;=Assumptions!$B$8,Assumptions!$B$31,IF(C$4&lt;=Assumptions!$B$9,Assumptions!$B$32,Assumptions!$B$33)))</f>
        <v/>
      </c>
      <c r="D17" s="21">
        <f>IF(D$4&lt;=Assumptions!$B$7,0,IF(D$4&lt;=Assumptions!$B$8,Assumptions!$B$31,IF(D$4&lt;=Assumptions!$B$9,Assumptions!$B$32,Assumptions!$B$33)))</f>
        <v/>
      </c>
      <c r="E17" s="21">
        <f>IF(E$4&lt;=Assumptions!$B$7,0,IF(E$4&lt;=Assumptions!$B$8,Assumptions!$B$31,IF(E$4&lt;=Assumptions!$B$9,Assumptions!$B$32,Assumptions!$B$33)))</f>
        <v/>
      </c>
      <c r="F17" s="21">
        <f>IF(F$4&lt;=Assumptions!$B$7,0,IF(F$4&lt;=Assumptions!$B$8,Assumptions!$B$31,IF(F$4&lt;=Assumptions!$B$9,Assumptions!$B$32,Assumptions!$B$33)))</f>
        <v/>
      </c>
      <c r="G17" s="21">
        <f>IF(G$4&lt;=Assumptions!$B$7,0,IF(G$4&lt;=Assumptions!$B$8,Assumptions!$B$31,IF(G$4&lt;=Assumptions!$B$9,Assumptions!$B$32,Assumptions!$B$33)))</f>
        <v/>
      </c>
      <c r="H17" s="21">
        <f>IF(H$4&lt;=Assumptions!$B$7,0,IF(H$4&lt;=Assumptions!$B$8,Assumptions!$B$31,IF(H$4&lt;=Assumptions!$B$9,Assumptions!$B$32,Assumptions!$B$33)))</f>
        <v/>
      </c>
      <c r="I17" s="21">
        <f>IF(I$4&lt;=Assumptions!$B$7,0,IF(I$4&lt;=Assumptions!$B$8,Assumptions!$B$31,IF(I$4&lt;=Assumptions!$B$9,Assumptions!$B$32,Assumptions!$B$33)))</f>
        <v/>
      </c>
      <c r="J17" s="21">
        <f>IF(J$4&lt;=Assumptions!$B$7,0,IF(J$4&lt;=Assumptions!$B$8,Assumptions!$B$31,IF(J$4&lt;=Assumptions!$B$9,Assumptions!$B$32,Assumptions!$B$33)))</f>
        <v/>
      </c>
      <c r="K17" s="21">
        <f>IF(K$4&lt;=Assumptions!$B$7,0,IF(K$4&lt;=Assumptions!$B$8,Assumptions!$B$31,IF(K$4&lt;=Assumptions!$B$9,Assumptions!$B$32,Assumptions!$B$33)))</f>
        <v/>
      </c>
      <c r="L17" s="21">
        <f>IF(L$4&lt;=Assumptions!$B$7,0,IF(L$4&lt;=Assumptions!$B$8,Assumptions!$B$31,IF(L$4&lt;=Assumptions!$B$9,Assumptions!$B$32,Assumptions!$B$33)))</f>
        <v/>
      </c>
      <c r="M17" s="21">
        <f>IF(M$4&lt;=Assumptions!$B$7,0,IF(M$4&lt;=Assumptions!$B$8,Assumptions!$B$31,IF(M$4&lt;=Assumptions!$B$9,Assumptions!$B$32,Assumptions!$B$33)))</f>
        <v/>
      </c>
      <c r="N17" s="21">
        <f>IF(N$4&lt;=Assumptions!$B$7,0,IF(N$4&lt;=Assumptions!$B$8,Assumptions!$B$31,IF(N$4&lt;=Assumptions!$B$9,Assumptions!$B$32,Assumptions!$B$33)))</f>
        <v/>
      </c>
      <c r="O17" s="21">
        <f>IF(O$4&lt;=Assumptions!$B$7,0,IF(O$4&lt;=Assumptions!$B$8,Assumptions!$B$31,IF(O$4&lt;=Assumptions!$B$9,Assumptions!$B$32,Assumptions!$B$33)))</f>
        <v/>
      </c>
      <c r="P17" s="21">
        <f>IF(P$4&lt;=Assumptions!$B$7,0,IF(P$4&lt;=Assumptions!$B$8,Assumptions!$B$31,IF(P$4&lt;=Assumptions!$B$9,Assumptions!$B$32,Assumptions!$B$33)))</f>
        <v/>
      </c>
      <c r="Q17" s="21">
        <f>IF(Q$4&lt;=Assumptions!$B$7,0,IF(Q$4&lt;=Assumptions!$B$8,Assumptions!$B$31,IF(Q$4&lt;=Assumptions!$B$9,Assumptions!$B$32,Assumptions!$B$33)))</f>
        <v/>
      </c>
      <c r="R17" s="21">
        <f>IF(R$4&lt;=Assumptions!$B$7,0,IF(R$4&lt;=Assumptions!$B$8,Assumptions!$B$31,IF(R$4&lt;=Assumptions!$B$9,Assumptions!$B$32,Assumptions!$B$33)))</f>
        <v/>
      </c>
      <c r="S17" s="21">
        <f>IF(S$4&lt;=Assumptions!$B$7,0,IF(S$4&lt;=Assumptions!$B$8,Assumptions!$B$31,IF(S$4&lt;=Assumptions!$B$9,Assumptions!$B$32,Assumptions!$B$33)))</f>
        <v/>
      </c>
      <c r="T17" s="22">
        <f>SUM(B17:S17)</f>
        <v/>
      </c>
    </row>
    <row r="18">
      <c r="A18" s="6" t="inlineStr">
        <is>
          <t>Total signups</t>
        </is>
      </c>
      <c r="B18" s="21">
        <f>B17</f>
        <v/>
      </c>
      <c r="C18" s="21">
        <f>B18+C17</f>
        <v/>
      </c>
      <c r="D18" s="21">
        <f>C18+D17</f>
        <v/>
      </c>
      <c r="E18" s="21">
        <f>D18+E17</f>
        <v/>
      </c>
      <c r="F18" s="21">
        <f>E18+F17</f>
        <v/>
      </c>
      <c r="G18" s="21">
        <f>F18+G17</f>
        <v/>
      </c>
      <c r="H18" s="21">
        <f>G18+H17</f>
        <v/>
      </c>
      <c r="I18" s="21">
        <f>H18+I17</f>
        <v/>
      </c>
      <c r="J18" s="21">
        <f>I18+J17</f>
        <v/>
      </c>
      <c r="K18" s="21">
        <f>J18+K17</f>
        <v/>
      </c>
      <c r="L18" s="21">
        <f>K18+L17</f>
        <v/>
      </c>
      <c r="M18" s="21">
        <f>L18+M17</f>
        <v/>
      </c>
      <c r="N18" s="21">
        <f>M18+N17</f>
        <v/>
      </c>
      <c r="O18" s="21">
        <f>N18+O17</f>
        <v/>
      </c>
      <c r="P18" s="21">
        <f>O18+P17</f>
        <v/>
      </c>
      <c r="Q18" s="21">
        <f>P18+Q17</f>
        <v/>
      </c>
      <c r="R18" s="21">
        <f>Q18+R17</f>
        <v/>
      </c>
      <c r="S18" s="21">
        <f>R18+S17</f>
        <v/>
      </c>
      <c r="T18" s="2" t="n"/>
    </row>
    <row r="19">
      <c r="A19" s="6" t="inlineStr">
        <is>
          <t>Monthly active users</t>
        </is>
      </c>
      <c r="B19" s="21">
        <f>ROUND(B18*Assumptions!$B$34,0)</f>
        <v/>
      </c>
      <c r="C19" s="21">
        <f>ROUND(C18*Assumptions!$B$34,0)</f>
        <v/>
      </c>
      <c r="D19" s="21">
        <f>ROUND(D18*Assumptions!$B$34,0)</f>
        <v/>
      </c>
      <c r="E19" s="21">
        <f>ROUND(E18*Assumptions!$B$34,0)</f>
        <v/>
      </c>
      <c r="F19" s="21">
        <f>ROUND(F18*Assumptions!$B$34,0)</f>
        <v/>
      </c>
      <c r="G19" s="21">
        <f>ROUND(G18*Assumptions!$B$34,0)</f>
        <v/>
      </c>
      <c r="H19" s="21">
        <f>ROUND(H18*Assumptions!$B$34,0)</f>
        <v/>
      </c>
      <c r="I19" s="21">
        <f>ROUND(I18*Assumptions!$B$34,0)</f>
        <v/>
      </c>
      <c r="J19" s="21">
        <f>ROUND(J18*Assumptions!$B$34,0)</f>
        <v/>
      </c>
      <c r="K19" s="21">
        <f>ROUND(K18*Assumptions!$B$34,0)</f>
        <v/>
      </c>
      <c r="L19" s="21">
        <f>ROUND(L18*Assumptions!$B$34,0)</f>
        <v/>
      </c>
      <c r="M19" s="21">
        <f>ROUND(M18*Assumptions!$B$34,0)</f>
        <v/>
      </c>
      <c r="N19" s="21">
        <f>ROUND(N18*Assumptions!$B$34,0)</f>
        <v/>
      </c>
      <c r="O19" s="21">
        <f>ROUND(O18*Assumptions!$B$34,0)</f>
        <v/>
      </c>
      <c r="P19" s="21">
        <f>ROUND(P18*Assumptions!$B$34,0)</f>
        <v/>
      </c>
      <c r="Q19" s="21">
        <f>ROUND(Q18*Assumptions!$B$34,0)</f>
        <v/>
      </c>
      <c r="R19" s="21">
        <f>ROUND(R18*Assumptions!$B$34,0)</f>
        <v/>
      </c>
      <c r="S19" s="21">
        <f>ROUND(S18*Assumptions!$B$34,0)</f>
        <v/>
      </c>
      <c r="T19" s="2" t="n"/>
    </row>
    <row r="20">
      <c r="A20" s="6" t="inlineStr">
        <is>
          <t>Paying users</t>
        </is>
      </c>
      <c r="B20" s="21">
        <f>IF(B$4&gt;=Assumptions!$B$10,ROUND(B19*Assumptions!$B$35,0),0)</f>
        <v/>
      </c>
      <c r="C20" s="21">
        <f>IF(C$4&gt;=Assumptions!$B$10,ROUND(C19*Assumptions!$B$35,0),0)</f>
        <v/>
      </c>
      <c r="D20" s="21">
        <f>IF(D$4&gt;=Assumptions!$B$10,ROUND(D19*Assumptions!$B$35,0),0)</f>
        <v/>
      </c>
      <c r="E20" s="21">
        <f>IF(E$4&gt;=Assumptions!$B$10,ROUND(E19*Assumptions!$B$35,0),0)</f>
        <v/>
      </c>
      <c r="F20" s="21">
        <f>IF(F$4&gt;=Assumptions!$B$10,ROUND(F19*Assumptions!$B$35,0),0)</f>
        <v/>
      </c>
      <c r="G20" s="21">
        <f>IF(G$4&gt;=Assumptions!$B$10,ROUND(G19*Assumptions!$B$35,0),0)</f>
        <v/>
      </c>
      <c r="H20" s="21">
        <f>IF(H$4&gt;=Assumptions!$B$10,ROUND(H19*Assumptions!$B$35,0),0)</f>
        <v/>
      </c>
      <c r="I20" s="21">
        <f>IF(I$4&gt;=Assumptions!$B$10,ROUND(I19*Assumptions!$B$35,0),0)</f>
        <v/>
      </c>
      <c r="J20" s="21">
        <f>IF(J$4&gt;=Assumptions!$B$10,ROUND(J19*Assumptions!$B$35,0),0)</f>
        <v/>
      </c>
      <c r="K20" s="21">
        <f>IF(K$4&gt;=Assumptions!$B$10,ROUND(K19*Assumptions!$B$35,0),0)</f>
        <v/>
      </c>
      <c r="L20" s="21">
        <f>IF(L$4&gt;=Assumptions!$B$10,ROUND(L19*Assumptions!$B$35,0),0)</f>
        <v/>
      </c>
      <c r="M20" s="21">
        <f>IF(M$4&gt;=Assumptions!$B$10,ROUND(M19*Assumptions!$B$35,0),0)</f>
        <v/>
      </c>
      <c r="N20" s="21">
        <f>IF(N$4&gt;=Assumptions!$B$10,ROUND(N19*Assumptions!$B$35,0),0)</f>
        <v/>
      </c>
      <c r="O20" s="21">
        <f>IF(O$4&gt;=Assumptions!$B$10,ROUND(O19*Assumptions!$B$35,0),0)</f>
        <v/>
      </c>
      <c r="P20" s="21">
        <f>IF(P$4&gt;=Assumptions!$B$10,ROUND(P19*Assumptions!$B$35,0),0)</f>
        <v/>
      </c>
      <c r="Q20" s="21">
        <f>IF(Q$4&gt;=Assumptions!$B$10,ROUND(Q19*Assumptions!$B$35,0),0)</f>
        <v/>
      </c>
      <c r="R20" s="21">
        <f>IF(R$4&gt;=Assumptions!$B$10,ROUND(R19*Assumptions!$B$35,0),0)</f>
        <v/>
      </c>
      <c r="S20" s="21">
        <f>IF(S$4&gt;=Assumptions!$B$10,ROUND(S19*Assumptions!$B$35,0),0)</f>
        <v/>
      </c>
      <c r="T20" s="2" t="n"/>
    </row>
    <row r="21">
      <c r="A21" s="4" t="inlineStr">
        <is>
          <t>Revenue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6" t="inlineStr">
        <is>
          <t>Gross bookings (incl. GST)</t>
        </is>
      </c>
      <c r="B22" s="19">
        <f>B20*Assumptions!$B$36</f>
        <v/>
      </c>
      <c r="C22" s="19">
        <f>C20*Assumptions!$B$36</f>
        <v/>
      </c>
      <c r="D22" s="19">
        <f>D20*Assumptions!$B$36</f>
        <v/>
      </c>
      <c r="E22" s="19">
        <f>E20*Assumptions!$B$36</f>
        <v/>
      </c>
      <c r="F22" s="19">
        <f>F20*Assumptions!$B$36</f>
        <v/>
      </c>
      <c r="G22" s="19">
        <f>G20*Assumptions!$B$36</f>
        <v/>
      </c>
      <c r="H22" s="19">
        <f>H20*Assumptions!$B$36</f>
        <v/>
      </c>
      <c r="I22" s="19">
        <f>I20*Assumptions!$B$36</f>
        <v/>
      </c>
      <c r="J22" s="19">
        <f>J20*Assumptions!$B$36</f>
        <v/>
      </c>
      <c r="K22" s="19">
        <f>K20*Assumptions!$B$36</f>
        <v/>
      </c>
      <c r="L22" s="19">
        <f>L20*Assumptions!$B$36</f>
        <v/>
      </c>
      <c r="M22" s="19">
        <f>M20*Assumptions!$B$36</f>
        <v/>
      </c>
      <c r="N22" s="19">
        <f>N20*Assumptions!$B$36</f>
        <v/>
      </c>
      <c r="O22" s="19">
        <f>O20*Assumptions!$B$36</f>
        <v/>
      </c>
      <c r="P22" s="19">
        <f>P20*Assumptions!$B$36</f>
        <v/>
      </c>
      <c r="Q22" s="19">
        <f>Q20*Assumptions!$B$36</f>
        <v/>
      </c>
      <c r="R22" s="19">
        <f>R20*Assumptions!$B$36</f>
        <v/>
      </c>
      <c r="S22" s="19">
        <f>S20*Assumptions!$B$36</f>
        <v/>
      </c>
      <c r="T22" s="18">
        <f>SUM(B22:S22)</f>
        <v/>
      </c>
    </row>
    <row r="23">
      <c r="A23" s="6" t="inlineStr">
        <is>
          <t>Less GST</t>
        </is>
      </c>
      <c r="B23" s="19">
        <f>-(B22-B22/(1+Assumptions!$B$37))</f>
        <v/>
      </c>
      <c r="C23" s="19">
        <f>-(C22-C22/(1+Assumptions!$B$37))</f>
        <v/>
      </c>
      <c r="D23" s="19">
        <f>-(D22-D22/(1+Assumptions!$B$37))</f>
        <v/>
      </c>
      <c r="E23" s="19">
        <f>-(E22-E22/(1+Assumptions!$B$37))</f>
        <v/>
      </c>
      <c r="F23" s="19">
        <f>-(F22-F22/(1+Assumptions!$B$37))</f>
        <v/>
      </c>
      <c r="G23" s="19">
        <f>-(G22-G22/(1+Assumptions!$B$37))</f>
        <v/>
      </c>
      <c r="H23" s="19">
        <f>-(H22-H22/(1+Assumptions!$B$37))</f>
        <v/>
      </c>
      <c r="I23" s="19">
        <f>-(I22-I22/(1+Assumptions!$B$37))</f>
        <v/>
      </c>
      <c r="J23" s="19">
        <f>-(J22-J22/(1+Assumptions!$B$37))</f>
        <v/>
      </c>
      <c r="K23" s="19">
        <f>-(K22-K22/(1+Assumptions!$B$37))</f>
        <v/>
      </c>
      <c r="L23" s="19">
        <f>-(L22-L22/(1+Assumptions!$B$37))</f>
        <v/>
      </c>
      <c r="M23" s="19">
        <f>-(M22-M22/(1+Assumptions!$B$37))</f>
        <v/>
      </c>
      <c r="N23" s="19">
        <f>-(N22-N22/(1+Assumptions!$B$37))</f>
        <v/>
      </c>
      <c r="O23" s="19">
        <f>-(O22-O22/(1+Assumptions!$B$37))</f>
        <v/>
      </c>
      <c r="P23" s="19">
        <f>-(P22-P22/(1+Assumptions!$B$37))</f>
        <v/>
      </c>
      <c r="Q23" s="19">
        <f>-(Q22-Q22/(1+Assumptions!$B$37))</f>
        <v/>
      </c>
      <c r="R23" s="19">
        <f>-(R22-R22/(1+Assumptions!$B$37))</f>
        <v/>
      </c>
      <c r="S23" s="19">
        <f>-(S22-S22/(1+Assumptions!$B$37))</f>
        <v/>
      </c>
      <c r="T23" s="18">
        <f>SUM(B23:S23)</f>
        <v/>
      </c>
    </row>
    <row r="24">
      <c r="A24" s="6" t="inlineStr">
        <is>
          <t>Less payment fees</t>
        </is>
      </c>
      <c r="B24" s="19">
        <f>-B22*Assumptions!$B$38</f>
        <v/>
      </c>
      <c r="C24" s="19">
        <f>-C22*Assumptions!$B$38</f>
        <v/>
      </c>
      <c r="D24" s="19">
        <f>-D22*Assumptions!$B$38</f>
        <v/>
      </c>
      <c r="E24" s="19">
        <f>-E22*Assumptions!$B$38</f>
        <v/>
      </c>
      <c r="F24" s="19">
        <f>-F22*Assumptions!$B$38</f>
        <v/>
      </c>
      <c r="G24" s="19">
        <f>-G22*Assumptions!$B$38</f>
        <v/>
      </c>
      <c r="H24" s="19">
        <f>-H22*Assumptions!$B$38</f>
        <v/>
      </c>
      <c r="I24" s="19">
        <f>-I22*Assumptions!$B$38</f>
        <v/>
      </c>
      <c r="J24" s="19">
        <f>-J22*Assumptions!$B$38</f>
        <v/>
      </c>
      <c r="K24" s="19">
        <f>-K22*Assumptions!$B$38</f>
        <v/>
      </c>
      <c r="L24" s="19">
        <f>-L22*Assumptions!$B$38</f>
        <v/>
      </c>
      <c r="M24" s="19">
        <f>-M22*Assumptions!$B$38</f>
        <v/>
      </c>
      <c r="N24" s="19">
        <f>-N22*Assumptions!$B$38</f>
        <v/>
      </c>
      <c r="O24" s="19">
        <f>-O22*Assumptions!$B$38</f>
        <v/>
      </c>
      <c r="P24" s="19">
        <f>-P22*Assumptions!$B$38</f>
        <v/>
      </c>
      <c r="Q24" s="19">
        <f>-Q22*Assumptions!$B$38</f>
        <v/>
      </c>
      <c r="R24" s="19">
        <f>-R22*Assumptions!$B$38</f>
        <v/>
      </c>
      <c r="S24" s="19">
        <f>-S22*Assumptions!$B$38</f>
        <v/>
      </c>
      <c r="T24" s="18">
        <f>SUM(B24:S24)</f>
        <v/>
      </c>
    </row>
    <row r="25">
      <c r="A25" s="20" t="inlineStr">
        <is>
          <t>Net revenue</t>
        </is>
      </c>
      <c r="B25" s="18">
        <f>B22+B23+B24</f>
        <v/>
      </c>
      <c r="C25" s="18">
        <f>C22+C23+C24</f>
        <v/>
      </c>
      <c r="D25" s="18">
        <f>D22+D23+D24</f>
        <v/>
      </c>
      <c r="E25" s="18">
        <f>E22+E23+E24</f>
        <v/>
      </c>
      <c r="F25" s="18">
        <f>F22+F23+F24</f>
        <v/>
      </c>
      <c r="G25" s="18">
        <f>G22+G23+G24</f>
        <v/>
      </c>
      <c r="H25" s="18">
        <f>H22+H23+H24</f>
        <v/>
      </c>
      <c r="I25" s="18">
        <f>I22+I23+I24</f>
        <v/>
      </c>
      <c r="J25" s="18">
        <f>J22+J23+J24</f>
        <v/>
      </c>
      <c r="K25" s="18">
        <f>K22+K23+K24</f>
        <v/>
      </c>
      <c r="L25" s="18">
        <f>L22+L23+L24</f>
        <v/>
      </c>
      <c r="M25" s="18">
        <f>M22+M23+M24</f>
        <v/>
      </c>
      <c r="N25" s="18">
        <f>N22+N23+N24</f>
        <v/>
      </c>
      <c r="O25" s="18">
        <f>O22+O23+O24</f>
        <v/>
      </c>
      <c r="P25" s="18">
        <f>P22+P23+P24</f>
        <v/>
      </c>
      <c r="Q25" s="18">
        <f>Q22+Q23+Q24</f>
        <v/>
      </c>
      <c r="R25" s="18">
        <f>R22+R23+R24</f>
        <v/>
      </c>
      <c r="S25" s="18">
        <f>S22+S23+S24</f>
        <v/>
      </c>
      <c r="T25" s="18">
        <f>SUM(B25:S25)</f>
        <v/>
      </c>
    </row>
    <row r="26">
      <c r="A26" s="4" t="inlineStr">
        <is>
          <t>Cash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0" t="inlineStr">
        <is>
          <t>Net burn (costs minus net revenue)</t>
        </is>
      </c>
      <c r="B27" s="18">
        <f>B15-B25</f>
        <v/>
      </c>
      <c r="C27" s="18">
        <f>C15-C25</f>
        <v/>
      </c>
      <c r="D27" s="18">
        <f>D15-D25</f>
        <v/>
      </c>
      <c r="E27" s="18">
        <f>E15-E25</f>
        <v/>
      </c>
      <c r="F27" s="18">
        <f>F15-F25</f>
        <v/>
      </c>
      <c r="G27" s="18">
        <f>G15-G25</f>
        <v/>
      </c>
      <c r="H27" s="18">
        <f>H15-H25</f>
        <v/>
      </c>
      <c r="I27" s="18">
        <f>I15-I25</f>
        <v/>
      </c>
      <c r="J27" s="18">
        <f>J15-J25</f>
        <v/>
      </c>
      <c r="K27" s="18">
        <f>K15-K25</f>
        <v/>
      </c>
      <c r="L27" s="18">
        <f>L15-L25</f>
        <v/>
      </c>
      <c r="M27" s="18">
        <f>M15-M25</f>
        <v/>
      </c>
      <c r="N27" s="18">
        <f>N15-N25</f>
        <v/>
      </c>
      <c r="O27" s="18">
        <f>O15-O25</f>
        <v/>
      </c>
      <c r="P27" s="18">
        <f>P15-P25</f>
        <v/>
      </c>
      <c r="Q27" s="18">
        <f>Q15-Q25</f>
        <v/>
      </c>
      <c r="R27" s="18">
        <f>R15-R25</f>
        <v/>
      </c>
      <c r="S27" s="18">
        <f>S15-S25</f>
        <v/>
      </c>
      <c r="T27" s="18">
        <f>SUM(B27:S27)</f>
        <v/>
      </c>
    </row>
    <row r="28">
      <c r="A28" s="20" t="inlineStr">
        <is>
          <t>Cash at end of month</t>
        </is>
      </c>
      <c r="B28" s="17">
        <f>Assumptions!$B$5-B27</f>
        <v/>
      </c>
      <c r="C28" s="18">
        <f>B28-C27</f>
        <v/>
      </c>
      <c r="D28" s="18">
        <f>C28-D27</f>
        <v/>
      </c>
      <c r="E28" s="18">
        <f>D28-E27</f>
        <v/>
      </c>
      <c r="F28" s="18">
        <f>E28-F27</f>
        <v/>
      </c>
      <c r="G28" s="18">
        <f>F28-G27</f>
        <v/>
      </c>
      <c r="H28" s="18">
        <f>G28-H27</f>
        <v/>
      </c>
      <c r="I28" s="18">
        <f>H28-I27</f>
        <v/>
      </c>
      <c r="J28" s="18">
        <f>I28-J27</f>
        <v/>
      </c>
      <c r="K28" s="18">
        <f>J28-K27</f>
        <v/>
      </c>
      <c r="L28" s="18">
        <f>K28-L27</f>
        <v/>
      </c>
      <c r="M28" s="18">
        <f>L28-M27</f>
        <v/>
      </c>
      <c r="N28" s="18">
        <f>M28-N27</f>
        <v/>
      </c>
      <c r="O28" s="18">
        <f>N28-O27</f>
        <v/>
      </c>
      <c r="P28" s="18">
        <f>O28-P27</f>
        <v/>
      </c>
      <c r="Q28" s="18">
        <f>P28-Q27</f>
        <v/>
      </c>
      <c r="R28" s="18">
        <f>Q28-R27</f>
        <v/>
      </c>
      <c r="S28" s="18">
        <f>R28-S27</f>
        <v/>
      </c>
      <c r="T2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</cols>
  <sheetData>
    <row r="1">
      <c r="A1" s="1" t="inlineStr">
        <is>
          <t>Use of funds and headline numbers</t>
        </is>
      </c>
      <c r="B1" s="2" t="n"/>
      <c r="C1" s="2" t="n"/>
    </row>
    <row r="2">
      <c r="A2" s="2" t="n"/>
      <c r="B2" s="2" t="n"/>
      <c r="C2" s="2" t="n"/>
    </row>
    <row r="3">
      <c r="A3" s="14" t="inlineStr">
        <is>
          <t>Category</t>
        </is>
      </c>
      <c r="B3" s="14" t="inlineStr">
        <is>
          <t>18-month total (₹)</t>
        </is>
      </c>
      <c r="C3" s="14" t="inlineStr">
        <is>
          <t>% of raise</t>
        </is>
      </c>
    </row>
    <row r="4">
      <c r="A4" s="6" t="inlineStr">
        <is>
          <t>Team (founder + 3 roles)</t>
        </is>
      </c>
      <c r="B4" s="17">
        <f>Monthly!T7+Monthly!T8+Monthly!T9+Monthly!T10</f>
        <v/>
      </c>
      <c r="C4" s="23">
        <f>IF(Assumptions!$B$5=0,0,B4/Assumptions!$B$5)</f>
        <v/>
      </c>
    </row>
    <row r="5">
      <c r="A5" s="6" t="inlineStr">
        <is>
          <t>Marketing and community</t>
        </is>
      </c>
      <c r="B5" s="17">
        <f>Monthly!T11</f>
        <v/>
      </c>
      <c r="C5" s="23">
        <f>IF(Assumptions!$B$5=0,0,B5/Assumptions!$B$5)</f>
        <v/>
      </c>
    </row>
    <row r="6">
      <c r="A6" s="6" t="inlineStr">
        <is>
          <t>Infrastructure</t>
        </is>
      </c>
      <c r="B6" s="17">
        <f>Monthly!T12</f>
        <v/>
      </c>
      <c r="C6" s="23">
        <f>IF(Assumptions!$B$5=0,0,B6/Assumptions!$B$5)</f>
        <v/>
      </c>
    </row>
    <row r="7">
      <c r="A7" s="6" t="inlineStr">
        <is>
          <t>Legal, accounting and compliance</t>
        </is>
      </c>
      <c r="B7" s="17">
        <f>Monthly!T13</f>
        <v/>
      </c>
      <c r="C7" s="23">
        <f>IF(Assumptions!$B$5=0,0,B7/Assumptions!$B$5)</f>
        <v/>
      </c>
    </row>
    <row r="8">
      <c r="A8" s="6" t="inlineStr">
        <is>
          <t>Tools, devices and misc</t>
        </is>
      </c>
      <c r="B8" s="17">
        <f>Monthly!T14</f>
        <v/>
      </c>
      <c r="C8" s="23">
        <f>IF(Assumptions!$B$5=0,0,B8/Assumptions!$B$5)</f>
        <v/>
      </c>
    </row>
    <row r="9">
      <c r="A9" s="20" t="inlineStr">
        <is>
          <t>Total costs</t>
        </is>
      </c>
      <c r="B9" s="18">
        <f>SUM(B4:B8)</f>
        <v/>
      </c>
      <c r="C9" s="24">
        <f>IF(Assumptions!$B$5=0,0,B9/Assumptions!$B$5)</f>
        <v/>
      </c>
    </row>
    <row r="10">
      <c r="A10" s="2" t="n"/>
      <c r="B10" s="2" t="n"/>
      <c r="C10" s="2" t="n"/>
    </row>
    <row r="11">
      <c r="A11" s="20" t="inlineStr">
        <is>
          <t>Headline numbers</t>
        </is>
      </c>
      <c r="B11" s="2" t="n"/>
      <c r="C11" s="2" t="n"/>
    </row>
    <row r="12">
      <c r="A12" s="6" t="inlineStr">
        <is>
          <t>Raise</t>
        </is>
      </c>
      <c r="B12" s="17">
        <f>Assumptions!$B$5</f>
        <v/>
      </c>
      <c r="C12" s="2" t="n"/>
    </row>
    <row r="13">
      <c r="A13" s="6" t="inlineStr">
        <is>
          <t>Net revenue over 18 months</t>
        </is>
      </c>
      <c r="B13" s="17">
        <f>Monthly!T25</f>
        <v/>
      </c>
      <c r="C13" s="2" t="n"/>
    </row>
    <row r="14">
      <c r="A14" s="6" t="inlineStr">
        <is>
          <t>Net burn over 18 months</t>
        </is>
      </c>
      <c r="B14" s="17">
        <f>Monthly!T27</f>
        <v/>
      </c>
      <c r="C14" s="2" t="n"/>
    </row>
    <row r="15">
      <c r="A15" s="6" t="inlineStr">
        <is>
          <t>Cash left at month 18 (buffer)</t>
        </is>
      </c>
      <c r="B15" s="17">
        <f>Monthly!S28</f>
        <v/>
      </c>
      <c r="C15" s="2" t="n"/>
    </row>
    <row r="16">
      <c r="A16" s="6" t="inlineStr">
        <is>
          <t>Lowest cash balance in any month</t>
        </is>
      </c>
      <c r="B16" s="17">
        <f>MIN(Monthly!B28:S28)</f>
        <v/>
      </c>
      <c r="C16" s="2" t="n"/>
    </row>
    <row r="17">
      <c r="A17" s="6" t="inlineStr">
        <is>
          <t>Total signups by month 18</t>
        </is>
      </c>
      <c r="B17" s="25">
        <f>Monthly!S18</f>
        <v/>
      </c>
      <c r="C17" s="2" t="n"/>
    </row>
    <row r="18">
      <c r="A18" s="6" t="inlineStr">
        <is>
          <t>Monthly active users at month 18</t>
        </is>
      </c>
      <c r="B18" s="25">
        <f>Monthly!S19</f>
        <v/>
      </c>
      <c r="C18" s="2" t="n"/>
    </row>
    <row r="19">
      <c r="A19" s="6" t="inlineStr">
        <is>
          <t>Paying users at month 18</t>
        </is>
      </c>
      <c r="B19" s="25">
        <f>Monthly!S20</f>
        <v/>
      </c>
      <c r="C19" s="2" t="n"/>
    </row>
    <row r="20">
      <c r="A20" s="6" t="inlineStr">
        <is>
          <t>Monthly net revenue at month 18</t>
        </is>
      </c>
      <c r="B20" s="17">
        <f>Monthly!S25</f>
        <v/>
      </c>
      <c r="C20" s="2" t="n"/>
    </row>
    <row r="21">
      <c r="A21" s="6" t="inlineStr">
        <is>
          <t>Average monthly burn</t>
        </is>
      </c>
      <c r="B21" s="17">
        <f>Monthly!T27/18</f>
        <v/>
      </c>
      <c r="C21" s="2" t="n"/>
    </row>
    <row r="22">
      <c r="A22" s="2" t="n"/>
      <c r="B22" s="2" t="n"/>
      <c r="C22" s="2" t="n"/>
    </row>
    <row r="23">
      <c r="A23" s="3" t="inlineStr">
        <is>
          <t>This is a plan, not a forecast. Growth and conversion are assumptions to be tested in the closed beta; the point of the round is to prove them.</t>
        </is>
      </c>
      <c r="B23" s="2" t="n"/>
      <c r="C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0" customWidth="1" min="1" max="1"/>
    <col width="34" customWidth="1" min="2" max="2"/>
    <col width="60" customWidth="1" min="3" max="3"/>
  </cols>
  <sheetData>
    <row r="1">
      <c r="A1" s="1" t="inlineStr">
        <is>
          <t>Sources for market figures used in the deck</t>
        </is>
      </c>
      <c r="B1" s="2" t="n"/>
      <c r="C1" s="2" t="n"/>
    </row>
    <row r="2">
      <c r="A2" s="2" t="n"/>
      <c r="B2" s="2" t="n"/>
      <c r="C2" s="2" t="n"/>
    </row>
    <row r="3">
      <c r="A3" s="14" t="inlineStr">
        <is>
          <t>Fact</t>
        </is>
      </c>
      <c r="B3" s="14" t="inlineStr">
        <is>
          <t>Source</t>
        </is>
      </c>
      <c r="C3" s="14" t="inlineStr">
        <is>
          <t>Link</t>
        </is>
      </c>
    </row>
    <row r="4">
      <c r="A4" s="26" t="inlineStr">
        <is>
          <t>Paying users are typically 5–15% of MAU on Indian dating apps; online dating ₹2,000–2,500 Cr by 2030 at 12–14% a year; women ~26% of users; 75%+ of Gen Z report swiping fatigue</t>
        </is>
      </c>
      <c r="B4" s="6" t="inlineStr">
        <is>
          <t>Redseer, Dec 2025</t>
        </is>
      </c>
      <c r="C4" s="27" t="inlineStr">
        <is>
          <t>https://redseer.com/articles/whos-winning-in-indias-dating-matrimony-market-and-where-are-the-opportunities-for-platforms-and-investors/</t>
        </is>
      </c>
    </row>
    <row r="5">
      <c r="A5" s="26" t="inlineStr">
        <is>
          <t>India dating apps market US$788M (2024), US$1.42B by 2030</t>
        </is>
      </c>
      <c r="B5" s="6" t="inlineStr">
        <is>
          <t>MarkNtel Advisors</t>
        </is>
      </c>
      <c r="C5" s="27" t="inlineStr">
        <is>
          <t>https://www.marknteladvisors.com/press-release/india-dating-apps-market-size</t>
        </is>
      </c>
    </row>
    <row r="6">
      <c r="A6" s="26" t="inlineStr">
        <is>
          <t>India online dating app market US$547.9M (2023), US$1,015M by 2030</t>
        </is>
      </c>
      <c r="B6" s="6" t="inlineStr">
        <is>
          <t>Grand View Research</t>
        </is>
      </c>
      <c r="C6" s="27" t="inlineStr">
        <is>
          <t>https://www.grandviewresearch.com/horizon/outlook/online-dating-application-market/india</t>
        </is>
      </c>
    </row>
    <row r="7">
      <c r="A7" s="26" t="inlineStr">
        <is>
          <t>Aisle: Info Edge bought 76% for ₹91 Cr (2022); FY25 revenue ₹39.6 Cr; weekly plans from ₹99</t>
        </is>
      </c>
      <c r="B7" s="6" t="inlineStr">
        <is>
          <t>Business Today; Storyboard18; Global Dating Insights</t>
        </is>
      </c>
      <c r="C7" s="27" t="inlineStr">
        <is>
          <t>https://www.businesstoday.in/entrepreneurship/news/story/infoedge-acquires-76-stake-in-dating-app-aisle-for-rs-91-cr-325207-2022-03-08</t>
        </is>
      </c>
    </row>
    <row r="8">
      <c r="A8" s="26" t="inlineStr">
        <is>
          <t>Hinge: India is its #2 market by downloads; Hinge+ ₹1,199/month</t>
        </is>
      </c>
      <c r="B8" s="6" t="inlineStr">
        <is>
          <t>Global Dating Insights, Sep 2026</t>
        </is>
      </c>
      <c r="C8" s="27" t="inlineStr">
        <is>
          <t>https://www.globaldatinginsights.com/from-the-web/hinge-india-second-largest-market/</t>
        </is>
      </c>
    </row>
    <row r="9">
      <c r="A9" s="26" t="inlineStr">
        <is>
          <t>Hinge paying users +17% while Match Group total fell 5% (Q4 2025)</t>
        </is>
      </c>
      <c r="B9" s="6" t="inlineStr">
        <is>
          <t>Match Group Q4 2025 results</t>
        </is>
      </c>
      <c r="C9" s="27" t="inlineStr">
        <is>
          <t>https://finviz.com/news/298114/match-group-announces-fourth-quarter-and-full-year-results</t>
        </is>
      </c>
    </row>
    <row r="10">
      <c r="A10" s="26" t="inlineStr">
        <is>
          <t>TrulyMadly revenue ₹12.3 Cr (FY25), ~US$8.9M raised</t>
        </is>
      </c>
      <c r="B10" s="6" t="inlineStr">
        <is>
          <t>Inc42</t>
        </is>
      </c>
      <c r="C10" s="27" t="inlineStr">
        <is>
          <t>https://inc42.com/company/trulymadly/</t>
        </is>
      </c>
    </row>
    <row r="11">
      <c r="A11" s="26" t="inlineStr">
        <is>
          <t>FRND (game-like audio dating) US$6.5M Series A led by KRAFTON</t>
        </is>
      </c>
      <c r="B11" s="6" t="inlineStr">
        <is>
          <t>YourStory, Dec 2021</t>
        </is>
      </c>
      <c r="C11" s="27" t="inlineStr">
        <is>
          <t>https://yourstory.com/2021/12/bengaluru-dating-app-audio-romance-frnd-series-a-funding-krafton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2026-10-24T08:36:38Z</dcterms:created>
  <dcterms:modified xsi:type="dcterms:W3CDTF">2026-10-24T08:36:38Z</dcterms:modified>
</cp:coreProperties>
</file>