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" sheetId="2" state="visible" r:id="rId2"/>
    <sheet name="Use of Funds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(₹#,##0);&quot;-&quot;"/>
    <numFmt numFmtId="165" formatCode="#,##0;(#,##0);&quot;-&quot;"/>
    <numFmt numFmtId="166" formatCode="0.0%;(0.0%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color rgb="000000FF"/>
    </font>
    <font>
      <name val="Arial"/>
      <color rgb="00666666"/>
      <sz val="9"/>
    </font>
    <font>
      <name val="Arial"/>
      <b val="1"/>
      <color rgb="00FFFFFF"/>
    </font>
    <font>
      <name val="Arial"/>
      <color rgb="00008000"/>
    </font>
    <font>
      <name val="Arial"/>
      <color rgb="000563C1"/>
      <u val="single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DE8ED"/>
      </patternFill>
    </fill>
    <fill>
      <patternFill patternType="solid">
        <fgColor rgb="00FFFF00"/>
      </patternFill>
    </fill>
    <fill>
      <patternFill patternType="solid">
        <fgColor rgb="00D452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1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5" fontId="5" fillId="3" borderId="0" pivotButton="0" quotePrefix="0" xfId="0"/>
    <xf numFmtId="166" fontId="5" fillId="0" borderId="0" pivotButton="0" quotePrefix="0" xfId="0"/>
    <xf numFmtId="166" fontId="5" fillId="3" borderId="0" pivotButton="0" quotePrefix="0" xfId="0"/>
    <xf numFmtId="164" fontId="4" fillId="0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center"/>
    </xf>
    <xf numFmtId="49" fontId="4" fillId="0" borderId="0" pivotButton="0" quotePrefix="0" xfId="0"/>
    <xf numFmtId="164" fontId="8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166" fontId="10" fillId="0" borderId="0" pivotButton="0" quotePrefix="0" xfId="0"/>
    <xf numFmtId="166" fontId="3" fillId="0" borderId="0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dseer.com/articles/whos-winning-in-indias-dating-matrimony-market-and-where-are-the-opportunities-for-platforms-and-investors/" TargetMode="External" Id="rId1" /><Relationship Type="http://schemas.openxmlformats.org/officeDocument/2006/relationships/hyperlink" Target="https://www.marknteladvisors.com/press-release/india-dating-apps-market-size" TargetMode="External" Id="rId2" /><Relationship Type="http://schemas.openxmlformats.org/officeDocument/2006/relationships/hyperlink" Target="https://www.grandviewresearch.com/horizon/outlook/online-dating-application-market/india" TargetMode="External" Id="rId3" /><Relationship Type="http://schemas.openxmlformats.org/officeDocument/2006/relationships/hyperlink" Target="https://www.businesstoday.in/entrepreneurship/news/story/infoedge-acquires-76-stake-in-dating-app-aisle-for-rs-91-cr-325207-2022-03-08" TargetMode="External" Id="rId4" /><Relationship Type="http://schemas.openxmlformats.org/officeDocument/2006/relationships/hyperlink" Target="https://www.globaldatinginsights.com/from-the-web/hinge-india-second-largest-market/" TargetMode="External" Id="rId5" /><Relationship Type="http://schemas.openxmlformats.org/officeDocument/2006/relationships/hyperlink" Target="https://finviz.com/news/298114/match-group-announces-fourth-quarter-and-full-year-results" TargetMode="External" Id="rId6" /><Relationship Type="http://schemas.openxmlformats.org/officeDocument/2006/relationships/hyperlink" Target="https://inc42.com/company/trulymadly/" TargetMode="External" Id="rId7" /><Relationship Type="http://schemas.openxmlformats.org/officeDocument/2006/relationships/hyperlink" Target="https://yourstory.com/2021/12/bengaluru-dating-app-audio-romance-frnd-series-a-funding-krafton" TargetMode="External" Id="rId8" /><Relationship Type="http://schemas.openxmlformats.org/officeDocument/2006/relationships/hyperlink" Target="https://affiliate-program.amazon.in/help/operating/advertisingfees/" TargetMode="External" Id="rId9" /><Relationship Type="http://schemas.openxmlformats.org/officeDocument/2006/relationships/hyperlink" Target="https://affiliate.flipkart.com/commissions" TargetMode="External" Id="rId10" /><Relationship Type="http://schemas.openxmlformats.org/officeDocument/2006/relationships/hyperlink" Target="https://www.cuelinks.com/campaigns/myntra-affiliate-program" TargetMode="External" Id="rId11" /><Relationship Type="http://schemas.openxmlformats.org/officeDocument/2006/relationships/hyperlink" Target="https://affiliate.nykaa.com/commission.html" TargetMode="External" Id="rId12" /><Relationship Type="http://schemas.openxmlformats.org/officeDocument/2006/relationships/hyperlink" Target="https://support.google.com/adsense/answer/10502938" TargetMode="External" Id="rId13" /><Relationship Type="http://schemas.openxmlformats.org/officeDocument/2006/relationships/hyperlink" Target="https://support.google.com/admob/answer/7313578" TargetMode="External" Id="rId14" /><Relationship Type="http://schemas.openxmlformats.org/officeDocument/2006/relationships/hyperlink" Target="https://entrackr.com/2019/01/trulymadly-turn-profitable-fy18" TargetMode="External" Id="rId15" /><Relationship Type="http://schemas.openxmlformats.org/officeDocument/2006/relationships/hyperlink" Target="https://apps.apple.com/in/" TargetMode="External" Id="rId16" /><Relationship Type="http://schemas.openxmlformats.org/officeDocument/2006/relationships/hyperlink" Target="https://www.globaldatinginsights.com/from-the-web/hinge-india-second-largest-market/" TargetMode="External" Id="rId17" /><Relationship Type="http://schemas.openxmlformats.org/officeDocument/2006/relationships/hyperlink" Target="https://www.globaldatinginsights.com/featured/aisle-network-marks-11th-anniversary-with-changes-to-premium-model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90" customWidth="1" min="3" max="3"/>
  </cols>
  <sheetData>
    <row r="1">
      <c r="A1" s="1" t="inlineStr">
        <is>
          <t>Heartbeat: 18-month plan, key assumptions</t>
        </is>
      </c>
      <c r="B1" s="2" t="n"/>
      <c r="C1" s="2" t="n"/>
    </row>
    <row r="2">
      <c r="A2" s="3" t="inlineStr">
        <is>
          <t>Blue = input you can change. Yellow = key lever. All money in ₹ (INR), monthly unless noted. Every other sheet recalculates from these cells.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Funding</t>
        </is>
      </c>
      <c r="B4" s="5" t="n"/>
      <c r="C4" s="5" t="n"/>
    </row>
    <row r="5">
      <c r="A5" s="6" t="inlineStr">
        <is>
          <t>Raise amount</t>
        </is>
      </c>
      <c r="B5" s="7" t="n">
        <v>7500000</v>
      </c>
      <c r="C5" s="8" t="inlineStr">
        <is>
          <t>Proposed angel round. Founder's decision; ₹75 L gives ~18 months of runway at these costs.</t>
        </is>
      </c>
    </row>
    <row r="6">
      <c r="A6" s="4" t="inlineStr">
        <is>
          <t>Timeline (month number)</t>
        </is>
      </c>
      <c r="B6" s="5" t="n"/>
      <c r="C6" s="5" t="n"/>
    </row>
    <row r="7">
      <c r="A7" s="6" t="inlineStr">
        <is>
          <t>Build phase ends (Phases 0–4 of the plan)</t>
        </is>
      </c>
      <c r="B7" s="9" t="n">
        <v>3</v>
      </c>
      <c r="C7" s="8" t="inlineStr">
        <is>
          <t>docs/DATING_PLAN.md §10</t>
        </is>
      </c>
    </row>
    <row r="8">
      <c r="A8" s="6" t="inlineStr">
        <is>
          <t>Closed beta ends (one city, invite-only)</t>
        </is>
      </c>
      <c r="B8" s="9" t="n">
        <v>6</v>
      </c>
      <c r="C8" s="8" t="inlineStr">
        <is>
          <t>docs/DATING_PLAN.md §10</t>
        </is>
      </c>
    </row>
    <row r="9">
      <c r="A9" s="6" t="inlineStr">
        <is>
          <t>Bengaluru public launch ends</t>
        </is>
      </c>
      <c r="B9" s="9" t="n">
        <v>12</v>
      </c>
      <c r="C9" s="8" t="inlineStr">
        <is>
          <t>After this month the plan adds a second city</t>
        </is>
      </c>
    </row>
    <row r="10">
      <c r="A10" s="6" t="inlineStr">
        <is>
          <t>Premium (Heartbeat+) starts in month</t>
        </is>
      </c>
      <c r="B10" s="9" t="n">
        <v>7</v>
      </c>
      <c r="C10" s="8" t="inlineStr">
        <is>
          <t>Premium switched on at public launch</t>
        </is>
      </c>
    </row>
    <row r="11">
      <c r="A11" s="4" t="inlineStr">
        <is>
          <t>Team (monthly cost)</t>
        </is>
      </c>
      <c r="B11" s="5" t="n"/>
      <c r="C11" s="5" t="n"/>
    </row>
    <row r="12">
      <c r="A12" s="6" t="inlineStr">
        <is>
          <t>Founder salary</t>
        </is>
      </c>
      <c r="B12" s="10" t="n">
        <v>50000</v>
      </c>
      <c r="C12" s="8" t="inlineStr">
        <is>
          <t>Below-market founder pay; founder's estimate</t>
        </is>
      </c>
    </row>
    <row r="13">
      <c r="A13" s="6" t="inlineStr">
        <is>
          <t>Full-stack developer, from month</t>
        </is>
      </c>
      <c r="B13" s="9" t="n">
        <v>1</v>
      </c>
      <c r="C13" s="2" t="n"/>
    </row>
    <row r="14">
      <c r="A14" s="6" t="inlineStr">
        <is>
          <t>Full-stack developer salary</t>
        </is>
      </c>
      <c r="B14" s="10" t="n">
        <v>110000</v>
      </c>
      <c r="C14" s="8" t="inlineStr">
        <is>
          <t>Estimate for a mid-level React/Node developer in Bengaluru (CTC/12)</t>
        </is>
      </c>
    </row>
    <row r="15">
      <c r="A15" s="6" t="inlineStr">
        <is>
          <t>Community and safety lead, from month</t>
        </is>
      </c>
      <c r="B15" s="9" t="n">
        <v>4</v>
      </c>
      <c r="C15" s="8" t="inlineStr">
        <is>
          <t>Manual photo review, reports, beta community. Needed from beta</t>
        </is>
      </c>
    </row>
    <row r="16">
      <c r="A16" s="6" t="inlineStr">
        <is>
          <t>Community and safety lead salary</t>
        </is>
      </c>
      <c r="B16" s="10" t="n">
        <v>45000</v>
      </c>
      <c r="C16" s="8" t="inlineStr">
        <is>
          <t>Estimate</t>
        </is>
      </c>
    </row>
    <row r="17">
      <c r="A17" s="6" t="inlineStr">
        <is>
          <t>Content writer (part-time), from month</t>
        </is>
      </c>
      <c r="B17" s="9" t="n">
        <v>1</v>
      </c>
      <c r="C17" s="8" t="inlineStr">
        <is>
          <t>Writes question packs in English and Hinglish</t>
        </is>
      </c>
    </row>
    <row r="18">
      <c r="A18" s="6" t="inlineStr">
        <is>
          <t>Content writer cost</t>
        </is>
      </c>
      <c r="B18" s="10" t="n">
        <v>25000</v>
      </c>
      <c r="C18" s="8" t="inlineStr">
        <is>
          <t>Estimate, part-time</t>
        </is>
      </c>
    </row>
    <row r="19">
      <c r="A19" s="4" t="inlineStr">
        <is>
          <t>Marketing (monthly spend)</t>
        </is>
      </c>
      <c r="B19" s="5" t="n"/>
      <c r="C19" s="5" t="n"/>
    </row>
    <row r="20">
      <c r="A20" s="6" t="inlineStr">
        <is>
          <t>Build phase (waitlist)</t>
        </is>
      </c>
      <c r="B20" s="10" t="n">
        <v>20000</v>
      </c>
      <c r="C20" s="8" t="inlineStr">
        <is>
          <t>Waitlist page, Instagram, college groups</t>
        </is>
      </c>
    </row>
    <row r="21">
      <c r="A21" s="6" t="inlineStr">
        <is>
          <t>Closed beta</t>
        </is>
      </c>
      <c r="B21" s="10" t="n">
        <v>100000</v>
      </c>
      <c r="C21" s="8" t="inlineStr">
        <is>
          <t>Campus ambassadors, mixers, referral rewards</t>
        </is>
      </c>
    </row>
    <row r="22">
      <c r="A22" s="6" t="inlineStr">
        <is>
          <t>Bengaluru launch</t>
        </is>
      </c>
      <c r="B22" s="10" t="n">
        <v>120000</v>
      </c>
      <c r="C22" s="8" t="inlineStr">
        <is>
          <t>Paid social, events, creator collabs</t>
        </is>
      </c>
    </row>
    <row r="23">
      <c r="A23" s="6" t="inlineStr">
        <is>
          <t>Second city</t>
        </is>
      </c>
      <c r="B23" s="10" t="n">
        <v>150000</v>
      </c>
      <c r="C23" s="8" t="inlineStr">
        <is>
          <t>Launch in second city plus Bengaluru upkeep</t>
        </is>
      </c>
    </row>
    <row r="24">
      <c r="A24" s="4" t="inlineStr">
        <is>
          <t>Running costs</t>
        </is>
      </c>
      <c r="B24" s="5" t="n"/>
      <c r="C24" s="5" t="n"/>
    </row>
    <row r="25">
      <c r="A25" s="6" t="inlineStr">
        <is>
          <t>Infrastructure base (Firebase, Vercel Pro, Cloudinary, Sentry)</t>
        </is>
      </c>
      <c r="B25" s="10" t="n">
        <v>8000</v>
      </c>
      <c r="C25" s="8" t="inlineStr">
        <is>
          <t>Estimate; Vercel Pro is about US$20/month</t>
        </is>
      </c>
    </row>
    <row r="26">
      <c r="A26" s="6" t="inlineStr">
        <is>
          <t>Infrastructure per monthly active user</t>
        </is>
      </c>
      <c r="B26" s="10" t="n">
        <v>2</v>
      </c>
      <c r="C26" s="8" t="inlineStr">
        <is>
          <t>Estimate: Firestore reads, image delivery, push</t>
        </is>
      </c>
    </row>
    <row r="27">
      <c r="A27" s="6" t="inlineStr">
        <is>
          <t>Legal and company setup (one-time, month 1)</t>
        </is>
      </c>
      <c r="B27" s="10" t="n">
        <v>250000</v>
      </c>
      <c r="C27" s="8" t="inlineStr">
        <is>
          <t>Incorporation, terms and privacy review, DPDP and IT Rules setup, trademark</t>
        </is>
      </c>
    </row>
    <row r="28">
      <c r="A28" s="6" t="inlineStr">
        <is>
          <t>Accounting and compliance retainer</t>
        </is>
      </c>
      <c r="B28" s="10" t="n">
        <v>15000</v>
      </c>
      <c r="C28" s="8" t="inlineStr">
        <is>
          <t>CA retainer, GST filings</t>
        </is>
      </c>
    </row>
    <row r="29">
      <c r="A29" s="6" t="inlineStr">
        <is>
          <t>Tools, devices and misc</t>
        </is>
      </c>
      <c r="B29" s="10" t="n">
        <v>10000</v>
      </c>
      <c r="C29" s="8" t="inlineStr">
        <is>
          <t>Test phones, software subscriptions</t>
        </is>
      </c>
    </row>
    <row r="30">
      <c r="A30" s="4" t="inlineStr">
        <is>
          <t>Growth</t>
        </is>
      </c>
      <c r="B30" s="5" t="n"/>
      <c r="C30" s="5" t="n"/>
    </row>
    <row r="31">
      <c r="A31" s="6" t="inlineStr">
        <is>
          <t>New signups per month: closed beta</t>
        </is>
      </c>
      <c r="B31" s="9" t="n">
        <v>700</v>
      </c>
      <c r="C31" s="8" t="inlineStr">
        <is>
          <t>Invite-only; capped by manual photo review</t>
        </is>
      </c>
    </row>
    <row r="32">
      <c r="A32" s="6" t="inlineStr">
        <is>
          <t>New signups per month: Bengaluru launch</t>
        </is>
      </c>
      <c r="B32" s="11" t="n">
        <v>2000</v>
      </c>
      <c r="C32" s="8" t="inlineStr">
        <is>
          <t>Assumption to test in beta</t>
        </is>
      </c>
    </row>
    <row r="33">
      <c r="A33" s="6" t="inlineStr">
        <is>
          <t>New signups per month: second city</t>
        </is>
      </c>
      <c r="B33" s="9" t="n">
        <v>4500</v>
      </c>
      <c r="C33" s="8" t="inlineStr">
        <is>
          <t>Two cities combined</t>
        </is>
      </c>
    </row>
    <row r="34">
      <c r="A34" s="6" t="inlineStr">
        <is>
          <t>Monthly active users as % of total signups</t>
        </is>
      </c>
      <c r="B34" s="12" t="n">
        <v>0.4</v>
      </c>
      <c r="C34" s="8" t="inlineStr">
        <is>
          <t>Assumption</t>
        </is>
      </c>
    </row>
    <row r="35">
      <c r="A35" s="6" t="inlineStr">
        <is>
          <t>Paying users as % of monthly active users</t>
        </is>
      </c>
      <c r="B35" s="13" t="n">
        <v>0.05</v>
      </c>
      <c r="C35" s="8" t="inlineStr">
        <is>
          <t>Low end of the 5–15% Redseer reports for Indian dating apps at market prices (Dec 2025)</t>
        </is>
      </c>
    </row>
    <row r="36">
      <c r="A36" s="6" t="inlineStr">
        <is>
          <t>Monthly plan price (incl. GST)</t>
        </is>
      </c>
      <c r="B36" s="7" t="n">
        <v>499</v>
      </c>
      <c r="C36" s="8" t="inlineStr">
        <is>
          <t>Set below Bumble Premium ₹799 and Hinge+ ₹1,199, above QuackQuack's ₹299–589 tests (App Store India, Oct 2026). 3-month plan ~₹1,299</t>
        </is>
      </c>
    </row>
    <row r="37">
      <c r="A37" s="6" t="inlineStr">
        <is>
          <t>Weekly plan price (incl. GST)</t>
        </is>
      </c>
      <c r="B37" s="10" t="n">
        <v>149</v>
      </c>
      <c r="C37" s="8" t="inlineStr">
        <is>
          <t>Between Aisle/Happn ₹99 a week and Bumble ₹279–399 a week (App Store India, Oct 2026)</t>
        </is>
      </c>
    </row>
    <row r="38">
      <c r="A38" s="6" t="inlineStr">
        <is>
          <t>Share of paying users on weekly plans</t>
        </is>
      </c>
      <c r="B38" s="12" t="n">
        <v>0.4</v>
      </c>
      <c r="C38" s="8" t="inlineStr">
        <is>
          <t>Assumption: weekly 'sachet' plans are mainstream in India (Bumble, Aisle, Happn, TrulyMadly all sell them)</t>
        </is>
      </c>
    </row>
    <row r="39">
      <c r="A39" s="6" t="inlineStr">
        <is>
          <t>Weekly passes bought per weekly buyer per month</t>
        </is>
      </c>
      <c r="B39" s="9" t="n">
        <v>2</v>
      </c>
      <c r="C39" s="8" t="inlineStr">
        <is>
          <t>Assumption: many weekly buyers don't renew every week</t>
        </is>
      </c>
    </row>
    <row r="40">
      <c r="A40" s="6" t="inlineStr">
        <is>
          <t>Average revenue per paying user per month (incl. GST)</t>
        </is>
      </c>
      <c r="B40" s="14">
        <f>Assumptions!$B$38*Assumptions!$B$37*Assumptions!$B$39+(1-Assumptions!$B$38)*Assumptions!$B$36</f>
        <v/>
      </c>
      <c r="C40" s="8" t="inlineStr">
        <is>
          <t>Calculated: weekly share × weekly price × passes + monthly share × monthly price. Store prices imply ₹300–900 for Indian apps</t>
        </is>
      </c>
    </row>
    <row r="41">
      <c r="A41" s="6" t="inlineStr">
        <is>
          <t>GST on subscriptions</t>
        </is>
      </c>
      <c r="B41" s="12" t="n">
        <v>0.18</v>
      </c>
      <c r="C41" s="8" t="inlineStr">
        <is>
          <t>18% GST on online services; prices are GST-inclusive</t>
        </is>
      </c>
    </row>
    <row r="42">
      <c r="A42" s="6" t="inlineStr">
        <is>
          <t>Payment gateway fee (Razorpay)</t>
        </is>
      </c>
      <c r="B42" s="12" t="n">
        <v>0.02</v>
      </c>
      <c r="C42" s="8" t="inlineStr">
        <is>
          <t>Standard Razorpay fee is about 2%</t>
        </is>
      </c>
    </row>
    <row r="43">
      <c r="A43" s="4" t="inlineStr">
        <is>
          <t>Ads (free users only; never inside rounds or chats)</t>
        </is>
      </c>
      <c r="B43" s="5" t="n"/>
      <c r="C43" s="5" t="n"/>
    </row>
    <row r="44">
      <c r="A44" s="6" t="inlineStr">
        <is>
          <t>Ads start in month</t>
        </is>
      </c>
      <c r="B44" s="9" t="n">
        <v>7</v>
      </c>
      <c r="C44" s="8" t="inlineStr">
        <is>
          <t>Switched on at public launch, alongside Heartbeat+</t>
        </is>
      </c>
    </row>
    <row r="45">
      <c r="A45" s="6" t="inlineStr">
        <is>
          <t>Native ad impressions per free monthly active user</t>
        </is>
      </c>
      <c r="B45" s="9" t="n">
        <v>60</v>
      </c>
      <c r="C45" s="8" t="inlineStr">
        <is>
          <t>Assumption: about 2 a day, e.g. one sponsored card every few profiles</t>
        </is>
      </c>
    </row>
    <row r="46">
      <c r="A46" s="6" t="inlineStr">
        <is>
          <t>Native ad eCPM (₹ per 1,000 impressions, net to Heartbeat)</t>
        </is>
      </c>
      <c r="B46" s="10" t="n">
        <v>15</v>
      </c>
      <c r="C46" s="8" t="inlineStr">
        <is>
          <t>Conservative. Indian web ad rates are low: ~₹15–70 net per 1,000 (upGrowth 2026, agency figures; unverified). Replace with real AdSense data after launch</t>
        </is>
      </c>
    </row>
    <row r="47">
      <c r="A47" s="6" t="inlineStr">
        <is>
          <t>Rewarded ads watched per free monthly active user</t>
        </is>
      </c>
      <c r="B47" s="9" t="n">
        <v>4</v>
      </c>
      <c r="C47" s="8" t="inlineStr">
        <is>
          <t>Assumption: watch a short ad for 3 extra Sparks, about once a week</t>
        </is>
      </c>
    </row>
    <row r="48">
      <c r="A48" s="6" t="inlineStr">
        <is>
          <t>Rewarded ad eCPM (₹ per 1,000 views, net to Heartbeat)</t>
        </is>
      </c>
      <c r="B48" s="10" t="n">
        <v>45</v>
      </c>
      <c r="C48" s="8" t="inlineStr">
        <is>
          <t>Conservative. Rewarded video on Indian Android is cited at ~US$0.5–1 per 1,000 (developer reports, 2026; unverified). Web rewarded inventory is thinner until the Android app</t>
        </is>
      </c>
    </row>
    <row r="49">
      <c r="A49" s="4" t="inlineStr">
        <is>
          <t>Affiliate (outfit links to Amazon, Myntra, AJIO, Nykaa)</t>
        </is>
      </c>
      <c r="B49" s="5" t="n"/>
      <c r="C49" s="5" t="n"/>
    </row>
    <row r="50">
      <c r="A50" s="6" t="inlineStr">
        <is>
          <t>Affiliate links live from month</t>
        </is>
      </c>
      <c r="B50" s="9" t="n">
        <v>4</v>
      </c>
      <c r="C50" s="8" t="inlineStr">
        <is>
          <t>Outfit suggestions in the first-date planner from the beta onward</t>
        </is>
      </c>
    </row>
    <row r="51">
      <c r="A51" s="6" t="inlineStr">
        <is>
          <t>Share of monthly active users who open outfit ideas</t>
        </is>
      </c>
      <c r="B51" s="12" t="n">
        <v>0.15</v>
      </c>
      <c r="C51" s="8" t="inlineStr">
        <is>
          <t>Assumption: first-date planner plus the couples app's Outfit Planner</t>
        </is>
      </c>
    </row>
    <row r="52">
      <c r="A52" s="6" t="inlineStr">
        <is>
          <t>Shop clicks per user who opens outfit ideas</t>
        </is>
      </c>
      <c r="B52" s="9" t="n">
        <v>1.5</v>
      </c>
      <c r="C52" s="8" t="inlineStr">
        <is>
          <t>Assumption</t>
        </is>
      </c>
    </row>
    <row r="53">
      <c r="A53" s="6" t="inlineStr">
        <is>
          <t>Click-to-purchase conversion</t>
        </is>
      </c>
      <c r="B53" s="12" t="n">
        <v>0.008</v>
      </c>
      <c r="C53" s="8" t="inlineStr">
        <is>
          <t>Conservative. Indian fashion e-commerce converts ~1.2% of visits; affiliates typically 1–2% (2025 benchmarks; unverified)</t>
        </is>
      </c>
    </row>
    <row r="54">
      <c r="A54" s="6" t="inlineStr">
        <is>
          <t>Average fashion order value (₹)</t>
        </is>
      </c>
      <c r="B54" s="10" t="n">
        <v>1100</v>
      </c>
      <c r="C54" s="8" t="inlineStr">
        <is>
          <t>Conservative. Myntra AOV ~₹1,400 (estimate); Nykaa Fashion ₹4,504 (Q1 FY26)</t>
        </is>
      </c>
    </row>
    <row r="55">
      <c r="A55" s="6" t="inlineStr">
        <is>
          <t>Blended affiliate commission</t>
        </is>
      </c>
      <c r="B55" s="12" t="n">
        <v>0.04</v>
      </c>
      <c r="C55" s="8" t="inlineStr">
        <is>
          <t>Conservative blend after network cut and returns. Gross: Amazon apparel 7.5%, shoes 7% (official, Oct 2026); Flipkart fashion 8%; Myntra 3.75–7.5% via Cuelinks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Monthly plan (₹)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Calculated from the Assumptions sheet. Don't type here; change the inputs instead.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15" t="inlineStr">
        <is>
          <t>Month</t>
        </is>
      </c>
      <c r="B4" s="16" t="n">
        <v>1</v>
      </c>
      <c r="C4" s="16" t="n">
        <v>2</v>
      </c>
      <c r="D4" s="16" t="n">
        <v>3</v>
      </c>
      <c r="E4" s="16" t="n">
        <v>4</v>
      </c>
      <c r="F4" s="16" t="n">
        <v>5</v>
      </c>
      <c r="G4" s="16" t="n">
        <v>6</v>
      </c>
      <c r="H4" s="16" t="n">
        <v>7</v>
      </c>
      <c r="I4" s="16" t="n">
        <v>8</v>
      </c>
      <c r="J4" s="16" t="n">
        <v>9</v>
      </c>
      <c r="K4" s="16" t="n">
        <v>10</v>
      </c>
      <c r="L4" s="16" t="n">
        <v>11</v>
      </c>
      <c r="M4" s="16" t="n">
        <v>12</v>
      </c>
      <c r="N4" s="16" t="n">
        <v>13</v>
      </c>
      <c r="O4" s="16" t="n">
        <v>14</v>
      </c>
      <c r="P4" s="16" t="n">
        <v>15</v>
      </c>
      <c r="Q4" s="16" t="n">
        <v>16</v>
      </c>
      <c r="R4" s="16" t="n">
        <v>17</v>
      </c>
      <c r="S4" s="16" t="n">
        <v>18</v>
      </c>
      <c r="T4" s="15" t="inlineStr">
        <is>
          <t>Total</t>
        </is>
      </c>
    </row>
    <row r="5">
      <c r="A5" s="6" t="inlineStr">
        <is>
          <t>Phase</t>
        </is>
      </c>
      <c r="B5" s="17">
        <f>IF(B$4&lt;=Assumptions!$B$7,"Build",IF(B$4&lt;=Assumptions!$B$8,"Closed beta",IF(B$4&lt;=Assumptions!$B$9,"Bengaluru","City 2")))</f>
        <v/>
      </c>
      <c r="C5" s="17">
        <f>IF(C$4&lt;=Assumptions!$B$7,"Build",IF(C$4&lt;=Assumptions!$B$8,"Closed beta",IF(C$4&lt;=Assumptions!$B$9,"Bengaluru","City 2")))</f>
        <v/>
      </c>
      <c r="D5" s="17">
        <f>IF(D$4&lt;=Assumptions!$B$7,"Build",IF(D$4&lt;=Assumptions!$B$8,"Closed beta",IF(D$4&lt;=Assumptions!$B$9,"Bengaluru","City 2")))</f>
        <v/>
      </c>
      <c r="E5" s="17">
        <f>IF(E$4&lt;=Assumptions!$B$7,"Build",IF(E$4&lt;=Assumptions!$B$8,"Closed beta",IF(E$4&lt;=Assumptions!$B$9,"Bengaluru","City 2")))</f>
        <v/>
      </c>
      <c r="F5" s="17">
        <f>IF(F$4&lt;=Assumptions!$B$7,"Build",IF(F$4&lt;=Assumptions!$B$8,"Closed beta",IF(F$4&lt;=Assumptions!$B$9,"Bengaluru","City 2")))</f>
        <v/>
      </c>
      <c r="G5" s="17">
        <f>IF(G$4&lt;=Assumptions!$B$7,"Build",IF(G$4&lt;=Assumptions!$B$8,"Closed beta",IF(G$4&lt;=Assumptions!$B$9,"Bengaluru","City 2")))</f>
        <v/>
      </c>
      <c r="H5" s="17">
        <f>IF(H$4&lt;=Assumptions!$B$7,"Build",IF(H$4&lt;=Assumptions!$B$8,"Closed beta",IF(H$4&lt;=Assumptions!$B$9,"Bengaluru","City 2")))</f>
        <v/>
      </c>
      <c r="I5" s="17">
        <f>IF(I$4&lt;=Assumptions!$B$7,"Build",IF(I$4&lt;=Assumptions!$B$8,"Closed beta",IF(I$4&lt;=Assumptions!$B$9,"Bengaluru","City 2")))</f>
        <v/>
      </c>
      <c r="J5" s="17">
        <f>IF(J$4&lt;=Assumptions!$B$7,"Build",IF(J$4&lt;=Assumptions!$B$8,"Closed beta",IF(J$4&lt;=Assumptions!$B$9,"Bengaluru","City 2")))</f>
        <v/>
      </c>
      <c r="K5" s="17">
        <f>IF(K$4&lt;=Assumptions!$B$7,"Build",IF(K$4&lt;=Assumptions!$B$8,"Closed beta",IF(K$4&lt;=Assumptions!$B$9,"Bengaluru","City 2")))</f>
        <v/>
      </c>
      <c r="L5" s="17">
        <f>IF(L$4&lt;=Assumptions!$B$7,"Build",IF(L$4&lt;=Assumptions!$B$8,"Closed beta",IF(L$4&lt;=Assumptions!$B$9,"Bengaluru","City 2")))</f>
        <v/>
      </c>
      <c r="M5" s="17">
        <f>IF(M$4&lt;=Assumptions!$B$7,"Build",IF(M$4&lt;=Assumptions!$B$8,"Closed beta",IF(M$4&lt;=Assumptions!$B$9,"Bengaluru","City 2")))</f>
        <v/>
      </c>
      <c r="N5" s="17">
        <f>IF(N$4&lt;=Assumptions!$B$7,"Build",IF(N$4&lt;=Assumptions!$B$8,"Closed beta",IF(N$4&lt;=Assumptions!$B$9,"Bengaluru","City 2")))</f>
        <v/>
      </c>
      <c r="O5" s="17">
        <f>IF(O$4&lt;=Assumptions!$B$7,"Build",IF(O$4&lt;=Assumptions!$B$8,"Closed beta",IF(O$4&lt;=Assumptions!$B$9,"Bengaluru","City 2")))</f>
        <v/>
      </c>
      <c r="P5" s="17">
        <f>IF(P$4&lt;=Assumptions!$B$7,"Build",IF(P$4&lt;=Assumptions!$B$8,"Closed beta",IF(P$4&lt;=Assumptions!$B$9,"Bengaluru","City 2")))</f>
        <v/>
      </c>
      <c r="Q5" s="17">
        <f>IF(Q$4&lt;=Assumptions!$B$7,"Build",IF(Q$4&lt;=Assumptions!$B$8,"Closed beta",IF(Q$4&lt;=Assumptions!$B$9,"Bengaluru","City 2")))</f>
        <v/>
      </c>
      <c r="R5" s="17">
        <f>IF(R$4&lt;=Assumptions!$B$7,"Build",IF(R$4&lt;=Assumptions!$B$8,"Closed beta",IF(R$4&lt;=Assumptions!$B$9,"Bengaluru","City 2")))</f>
        <v/>
      </c>
      <c r="S5" s="17">
        <f>IF(S$4&lt;=Assumptions!$B$7,"Build",IF(S$4&lt;=Assumptions!$B$8,"Closed beta",IF(S$4&lt;=Assumptions!$B$9,"Bengaluru","City 2")))</f>
        <v/>
      </c>
      <c r="T5" s="2" t="n"/>
    </row>
    <row r="6">
      <c r="A6" s="4" t="inlineStr">
        <is>
          <t>Costs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6" t="inlineStr">
        <is>
          <t>Founder</t>
        </is>
      </c>
      <c r="B7" s="18">
        <f>Assumptions!$B$12</f>
        <v/>
      </c>
      <c r="C7" s="18">
        <f>Assumptions!$B$12</f>
        <v/>
      </c>
      <c r="D7" s="18">
        <f>Assumptions!$B$12</f>
        <v/>
      </c>
      <c r="E7" s="18">
        <f>Assumptions!$B$12</f>
        <v/>
      </c>
      <c r="F7" s="18">
        <f>Assumptions!$B$12</f>
        <v/>
      </c>
      <c r="G7" s="18">
        <f>Assumptions!$B$12</f>
        <v/>
      </c>
      <c r="H7" s="18">
        <f>Assumptions!$B$12</f>
        <v/>
      </c>
      <c r="I7" s="18">
        <f>Assumptions!$B$12</f>
        <v/>
      </c>
      <c r="J7" s="18">
        <f>Assumptions!$B$12</f>
        <v/>
      </c>
      <c r="K7" s="18">
        <f>Assumptions!$B$12</f>
        <v/>
      </c>
      <c r="L7" s="18">
        <f>Assumptions!$B$12</f>
        <v/>
      </c>
      <c r="M7" s="18">
        <f>Assumptions!$B$12</f>
        <v/>
      </c>
      <c r="N7" s="18">
        <f>Assumptions!$B$12</f>
        <v/>
      </c>
      <c r="O7" s="18">
        <f>Assumptions!$B$12</f>
        <v/>
      </c>
      <c r="P7" s="18">
        <f>Assumptions!$B$12</f>
        <v/>
      </c>
      <c r="Q7" s="18">
        <f>Assumptions!$B$12</f>
        <v/>
      </c>
      <c r="R7" s="18">
        <f>Assumptions!$B$12</f>
        <v/>
      </c>
      <c r="S7" s="18">
        <f>Assumptions!$B$12</f>
        <v/>
      </c>
      <c r="T7" s="19">
        <f>SUM(B7:S7)</f>
        <v/>
      </c>
    </row>
    <row r="8">
      <c r="A8" s="6" t="inlineStr">
        <is>
          <t>Full-stack developer</t>
        </is>
      </c>
      <c r="B8" s="14">
        <f>IF(B$4&gt;=Assumptions!$B$13,Assumptions!$B$14,0)</f>
        <v/>
      </c>
      <c r="C8" s="14">
        <f>IF(C$4&gt;=Assumptions!$B$13,Assumptions!$B$14,0)</f>
        <v/>
      </c>
      <c r="D8" s="14">
        <f>IF(D$4&gt;=Assumptions!$B$13,Assumptions!$B$14,0)</f>
        <v/>
      </c>
      <c r="E8" s="14">
        <f>IF(E$4&gt;=Assumptions!$B$13,Assumptions!$B$14,0)</f>
        <v/>
      </c>
      <c r="F8" s="14">
        <f>IF(F$4&gt;=Assumptions!$B$13,Assumptions!$B$14,0)</f>
        <v/>
      </c>
      <c r="G8" s="14">
        <f>IF(G$4&gt;=Assumptions!$B$13,Assumptions!$B$14,0)</f>
        <v/>
      </c>
      <c r="H8" s="14">
        <f>IF(H$4&gt;=Assumptions!$B$13,Assumptions!$B$14,0)</f>
        <v/>
      </c>
      <c r="I8" s="14">
        <f>IF(I$4&gt;=Assumptions!$B$13,Assumptions!$B$14,0)</f>
        <v/>
      </c>
      <c r="J8" s="14">
        <f>IF(J$4&gt;=Assumptions!$B$13,Assumptions!$B$14,0)</f>
        <v/>
      </c>
      <c r="K8" s="14">
        <f>IF(K$4&gt;=Assumptions!$B$13,Assumptions!$B$14,0)</f>
        <v/>
      </c>
      <c r="L8" s="14">
        <f>IF(L$4&gt;=Assumptions!$B$13,Assumptions!$B$14,0)</f>
        <v/>
      </c>
      <c r="M8" s="14">
        <f>IF(M$4&gt;=Assumptions!$B$13,Assumptions!$B$14,0)</f>
        <v/>
      </c>
      <c r="N8" s="14">
        <f>IF(N$4&gt;=Assumptions!$B$13,Assumptions!$B$14,0)</f>
        <v/>
      </c>
      <c r="O8" s="14">
        <f>IF(O$4&gt;=Assumptions!$B$13,Assumptions!$B$14,0)</f>
        <v/>
      </c>
      <c r="P8" s="14">
        <f>IF(P$4&gt;=Assumptions!$B$13,Assumptions!$B$14,0)</f>
        <v/>
      </c>
      <c r="Q8" s="14">
        <f>IF(Q$4&gt;=Assumptions!$B$13,Assumptions!$B$14,0)</f>
        <v/>
      </c>
      <c r="R8" s="14">
        <f>IF(R$4&gt;=Assumptions!$B$13,Assumptions!$B$14,0)</f>
        <v/>
      </c>
      <c r="S8" s="14">
        <f>IF(S$4&gt;=Assumptions!$B$13,Assumptions!$B$14,0)</f>
        <v/>
      </c>
      <c r="T8" s="19">
        <f>SUM(B8:S8)</f>
        <v/>
      </c>
    </row>
    <row r="9">
      <c r="A9" s="6" t="inlineStr">
        <is>
          <t>Community and safety lead</t>
        </is>
      </c>
      <c r="B9" s="14">
        <f>IF(B$4&gt;=Assumptions!$B$15,Assumptions!$B$16,0)</f>
        <v/>
      </c>
      <c r="C9" s="14">
        <f>IF(C$4&gt;=Assumptions!$B$15,Assumptions!$B$16,0)</f>
        <v/>
      </c>
      <c r="D9" s="14">
        <f>IF(D$4&gt;=Assumptions!$B$15,Assumptions!$B$16,0)</f>
        <v/>
      </c>
      <c r="E9" s="14">
        <f>IF(E$4&gt;=Assumptions!$B$15,Assumptions!$B$16,0)</f>
        <v/>
      </c>
      <c r="F9" s="14">
        <f>IF(F$4&gt;=Assumptions!$B$15,Assumptions!$B$16,0)</f>
        <v/>
      </c>
      <c r="G9" s="14">
        <f>IF(G$4&gt;=Assumptions!$B$15,Assumptions!$B$16,0)</f>
        <v/>
      </c>
      <c r="H9" s="14">
        <f>IF(H$4&gt;=Assumptions!$B$15,Assumptions!$B$16,0)</f>
        <v/>
      </c>
      <c r="I9" s="14">
        <f>IF(I$4&gt;=Assumptions!$B$15,Assumptions!$B$16,0)</f>
        <v/>
      </c>
      <c r="J9" s="14">
        <f>IF(J$4&gt;=Assumptions!$B$15,Assumptions!$B$16,0)</f>
        <v/>
      </c>
      <c r="K9" s="14">
        <f>IF(K$4&gt;=Assumptions!$B$15,Assumptions!$B$16,0)</f>
        <v/>
      </c>
      <c r="L9" s="14">
        <f>IF(L$4&gt;=Assumptions!$B$15,Assumptions!$B$16,0)</f>
        <v/>
      </c>
      <c r="M9" s="14">
        <f>IF(M$4&gt;=Assumptions!$B$15,Assumptions!$B$16,0)</f>
        <v/>
      </c>
      <c r="N9" s="14">
        <f>IF(N$4&gt;=Assumptions!$B$15,Assumptions!$B$16,0)</f>
        <v/>
      </c>
      <c r="O9" s="14">
        <f>IF(O$4&gt;=Assumptions!$B$15,Assumptions!$B$16,0)</f>
        <v/>
      </c>
      <c r="P9" s="14">
        <f>IF(P$4&gt;=Assumptions!$B$15,Assumptions!$B$16,0)</f>
        <v/>
      </c>
      <c r="Q9" s="14">
        <f>IF(Q$4&gt;=Assumptions!$B$15,Assumptions!$B$16,0)</f>
        <v/>
      </c>
      <c r="R9" s="14">
        <f>IF(R$4&gt;=Assumptions!$B$15,Assumptions!$B$16,0)</f>
        <v/>
      </c>
      <c r="S9" s="14">
        <f>IF(S$4&gt;=Assumptions!$B$15,Assumptions!$B$16,0)</f>
        <v/>
      </c>
      <c r="T9" s="19">
        <f>SUM(B9:S9)</f>
        <v/>
      </c>
    </row>
    <row r="10">
      <c r="A10" s="6" t="inlineStr">
        <is>
          <t>Content writer</t>
        </is>
      </c>
      <c r="B10" s="14">
        <f>IF(B$4&gt;=Assumptions!$B$17,Assumptions!$B$18,0)</f>
        <v/>
      </c>
      <c r="C10" s="14">
        <f>IF(C$4&gt;=Assumptions!$B$17,Assumptions!$B$18,0)</f>
        <v/>
      </c>
      <c r="D10" s="14">
        <f>IF(D$4&gt;=Assumptions!$B$17,Assumptions!$B$18,0)</f>
        <v/>
      </c>
      <c r="E10" s="14">
        <f>IF(E$4&gt;=Assumptions!$B$17,Assumptions!$B$18,0)</f>
        <v/>
      </c>
      <c r="F10" s="14">
        <f>IF(F$4&gt;=Assumptions!$B$17,Assumptions!$B$18,0)</f>
        <v/>
      </c>
      <c r="G10" s="14">
        <f>IF(G$4&gt;=Assumptions!$B$17,Assumptions!$B$18,0)</f>
        <v/>
      </c>
      <c r="H10" s="14">
        <f>IF(H$4&gt;=Assumptions!$B$17,Assumptions!$B$18,0)</f>
        <v/>
      </c>
      <c r="I10" s="14">
        <f>IF(I$4&gt;=Assumptions!$B$17,Assumptions!$B$18,0)</f>
        <v/>
      </c>
      <c r="J10" s="14">
        <f>IF(J$4&gt;=Assumptions!$B$17,Assumptions!$B$18,0)</f>
        <v/>
      </c>
      <c r="K10" s="14">
        <f>IF(K$4&gt;=Assumptions!$B$17,Assumptions!$B$18,0)</f>
        <v/>
      </c>
      <c r="L10" s="14">
        <f>IF(L$4&gt;=Assumptions!$B$17,Assumptions!$B$18,0)</f>
        <v/>
      </c>
      <c r="M10" s="14">
        <f>IF(M$4&gt;=Assumptions!$B$17,Assumptions!$B$18,0)</f>
        <v/>
      </c>
      <c r="N10" s="14">
        <f>IF(N$4&gt;=Assumptions!$B$17,Assumptions!$B$18,0)</f>
        <v/>
      </c>
      <c r="O10" s="14">
        <f>IF(O$4&gt;=Assumptions!$B$17,Assumptions!$B$18,0)</f>
        <v/>
      </c>
      <c r="P10" s="14">
        <f>IF(P$4&gt;=Assumptions!$B$17,Assumptions!$B$18,0)</f>
        <v/>
      </c>
      <c r="Q10" s="14">
        <f>IF(Q$4&gt;=Assumptions!$B$17,Assumptions!$B$18,0)</f>
        <v/>
      </c>
      <c r="R10" s="14">
        <f>IF(R$4&gt;=Assumptions!$B$17,Assumptions!$B$18,0)</f>
        <v/>
      </c>
      <c r="S10" s="14">
        <f>IF(S$4&gt;=Assumptions!$B$17,Assumptions!$B$18,0)</f>
        <v/>
      </c>
      <c r="T10" s="19">
        <f>SUM(B10:S10)</f>
        <v/>
      </c>
    </row>
    <row r="11">
      <c r="A11" s="6" t="inlineStr">
        <is>
          <t>Marketing</t>
        </is>
      </c>
      <c r="B11" s="14">
        <f>IF(B$4&lt;=Assumptions!$B$7,Assumptions!$B$20,IF(B$4&lt;=Assumptions!$B$8,Assumptions!$B$21,IF(B$4&lt;=Assumptions!$B$9,Assumptions!$B$22,Assumptions!$B$23)))</f>
        <v/>
      </c>
      <c r="C11" s="14">
        <f>IF(C$4&lt;=Assumptions!$B$7,Assumptions!$B$20,IF(C$4&lt;=Assumptions!$B$8,Assumptions!$B$21,IF(C$4&lt;=Assumptions!$B$9,Assumptions!$B$22,Assumptions!$B$23)))</f>
        <v/>
      </c>
      <c r="D11" s="14">
        <f>IF(D$4&lt;=Assumptions!$B$7,Assumptions!$B$20,IF(D$4&lt;=Assumptions!$B$8,Assumptions!$B$21,IF(D$4&lt;=Assumptions!$B$9,Assumptions!$B$22,Assumptions!$B$23)))</f>
        <v/>
      </c>
      <c r="E11" s="14">
        <f>IF(E$4&lt;=Assumptions!$B$7,Assumptions!$B$20,IF(E$4&lt;=Assumptions!$B$8,Assumptions!$B$21,IF(E$4&lt;=Assumptions!$B$9,Assumptions!$B$22,Assumptions!$B$23)))</f>
        <v/>
      </c>
      <c r="F11" s="14">
        <f>IF(F$4&lt;=Assumptions!$B$7,Assumptions!$B$20,IF(F$4&lt;=Assumptions!$B$8,Assumptions!$B$21,IF(F$4&lt;=Assumptions!$B$9,Assumptions!$B$22,Assumptions!$B$23)))</f>
        <v/>
      </c>
      <c r="G11" s="14">
        <f>IF(G$4&lt;=Assumptions!$B$7,Assumptions!$B$20,IF(G$4&lt;=Assumptions!$B$8,Assumptions!$B$21,IF(G$4&lt;=Assumptions!$B$9,Assumptions!$B$22,Assumptions!$B$23)))</f>
        <v/>
      </c>
      <c r="H11" s="14">
        <f>IF(H$4&lt;=Assumptions!$B$7,Assumptions!$B$20,IF(H$4&lt;=Assumptions!$B$8,Assumptions!$B$21,IF(H$4&lt;=Assumptions!$B$9,Assumptions!$B$22,Assumptions!$B$23)))</f>
        <v/>
      </c>
      <c r="I11" s="14">
        <f>IF(I$4&lt;=Assumptions!$B$7,Assumptions!$B$20,IF(I$4&lt;=Assumptions!$B$8,Assumptions!$B$21,IF(I$4&lt;=Assumptions!$B$9,Assumptions!$B$22,Assumptions!$B$23)))</f>
        <v/>
      </c>
      <c r="J11" s="14">
        <f>IF(J$4&lt;=Assumptions!$B$7,Assumptions!$B$20,IF(J$4&lt;=Assumptions!$B$8,Assumptions!$B$21,IF(J$4&lt;=Assumptions!$B$9,Assumptions!$B$22,Assumptions!$B$23)))</f>
        <v/>
      </c>
      <c r="K11" s="14">
        <f>IF(K$4&lt;=Assumptions!$B$7,Assumptions!$B$20,IF(K$4&lt;=Assumptions!$B$8,Assumptions!$B$21,IF(K$4&lt;=Assumptions!$B$9,Assumptions!$B$22,Assumptions!$B$23)))</f>
        <v/>
      </c>
      <c r="L11" s="14">
        <f>IF(L$4&lt;=Assumptions!$B$7,Assumptions!$B$20,IF(L$4&lt;=Assumptions!$B$8,Assumptions!$B$21,IF(L$4&lt;=Assumptions!$B$9,Assumptions!$B$22,Assumptions!$B$23)))</f>
        <v/>
      </c>
      <c r="M11" s="14">
        <f>IF(M$4&lt;=Assumptions!$B$7,Assumptions!$B$20,IF(M$4&lt;=Assumptions!$B$8,Assumptions!$B$21,IF(M$4&lt;=Assumptions!$B$9,Assumptions!$B$22,Assumptions!$B$23)))</f>
        <v/>
      </c>
      <c r="N11" s="14">
        <f>IF(N$4&lt;=Assumptions!$B$7,Assumptions!$B$20,IF(N$4&lt;=Assumptions!$B$8,Assumptions!$B$21,IF(N$4&lt;=Assumptions!$B$9,Assumptions!$B$22,Assumptions!$B$23)))</f>
        <v/>
      </c>
      <c r="O11" s="14">
        <f>IF(O$4&lt;=Assumptions!$B$7,Assumptions!$B$20,IF(O$4&lt;=Assumptions!$B$8,Assumptions!$B$21,IF(O$4&lt;=Assumptions!$B$9,Assumptions!$B$22,Assumptions!$B$23)))</f>
        <v/>
      </c>
      <c r="P11" s="14">
        <f>IF(P$4&lt;=Assumptions!$B$7,Assumptions!$B$20,IF(P$4&lt;=Assumptions!$B$8,Assumptions!$B$21,IF(P$4&lt;=Assumptions!$B$9,Assumptions!$B$22,Assumptions!$B$23)))</f>
        <v/>
      </c>
      <c r="Q11" s="14">
        <f>IF(Q$4&lt;=Assumptions!$B$7,Assumptions!$B$20,IF(Q$4&lt;=Assumptions!$B$8,Assumptions!$B$21,IF(Q$4&lt;=Assumptions!$B$9,Assumptions!$B$22,Assumptions!$B$23)))</f>
        <v/>
      </c>
      <c r="R11" s="14">
        <f>IF(R$4&lt;=Assumptions!$B$7,Assumptions!$B$20,IF(R$4&lt;=Assumptions!$B$8,Assumptions!$B$21,IF(R$4&lt;=Assumptions!$B$9,Assumptions!$B$22,Assumptions!$B$23)))</f>
        <v/>
      </c>
      <c r="S11" s="14">
        <f>IF(S$4&lt;=Assumptions!$B$7,Assumptions!$B$20,IF(S$4&lt;=Assumptions!$B$8,Assumptions!$B$21,IF(S$4&lt;=Assumptions!$B$9,Assumptions!$B$22,Assumptions!$B$23)))</f>
        <v/>
      </c>
      <c r="T11" s="19">
        <f>SUM(B11:S11)</f>
        <v/>
      </c>
    </row>
    <row r="12">
      <c r="A12" s="6" t="inlineStr">
        <is>
          <t>Infrastructure</t>
        </is>
      </c>
      <c r="B12" s="14">
        <f>Assumptions!$B$25+Assumptions!$B$26*B19</f>
        <v/>
      </c>
      <c r="C12" s="14">
        <f>Assumptions!$B$25+Assumptions!$B$26*C19</f>
        <v/>
      </c>
      <c r="D12" s="14">
        <f>Assumptions!$B$25+Assumptions!$B$26*D19</f>
        <v/>
      </c>
      <c r="E12" s="14">
        <f>Assumptions!$B$25+Assumptions!$B$26*E19</f>
        <v/>
      </c>
      <c r="F12" s="14">
        <f>Assumptions!$B$25+Assumptions!$B$26*F19</f>
        <v/>
      </c>
      <c r="G12" s="14">
        <f>Assumptions!$B$25+Assumptions!$B$26*G19</f>
        <v/>
      </c>
      <c r="H12" s="14">
        <f>Assumptions!$B$25+Assumptions!$B$26*H19</f>
        <v/>
      </c>
      <c r="I12" s="14">
        <f>Assumptions!$B$25+Assumptions!$B$26*I19</f>
        <v/>
      </c>
      <c r="J12" s="14">
        <f>Assumptions!$B$25+Assumptions!$B$26*J19</f>
        <v/>
      </c>
      <c r="K12" s="14">
        <f>Assumptions!$B$25+Assumptions!$B$26*K19</f>
        <v/>
      </c>
      <c r="L12" s="14">
        <f>Assumptions!$B$25+Assumptions!$B$26*L19</f>
        <v/>
      </c>
      <c r="M12" s="14">
        <f>Assumptions!$B$25+Assumptions!$B$26*M19</f>
        <v/>
      </c>
      <c r="N12" s="14">
        <f>Assumptions!$B$25+Assumptions!$B$26*N19</f>
        <v/>
      </c>
      <c r="O12" s="14">
        <f>Assumptions!$B$25+Assumptions!$B$26*O19</f>
        <v/>
      </c>
      <c r="P12" s="14">
        <f>Assumptions!$B$25+Assumptions!$B$26*P19</f>
        <v/>
      </c>
      <c r="Q12" s="14">
        <f>Assumptions!$B$25+Assumptions!$B$26*Q19</f>
        <v/>
      </c>
      <c r="R12" s="14">
        <f>Assumptions!$B$25+Assumptions!$B$26*R19</f>
        <v/>
      </c>
      <c r="S12" s="14">
        <f>Assumptions!$B$25+Assumptions!$B$26*S19</f>
        <v/>
      </c>
      <c r="T12" s="19">
        <f>SUM(B12:S12)</f>
        <v/>
      </c>
    </row>
    <row r="13">
      <c r="A13" s="6" t="inlineStr">
        <is>
          <t>Legal, accounting and compliance</t>
        </is>
      </c>
      <c r="B13" s="14">
        <f>IF(B$4=1,Assumptions!$B$27,0)+Assumptions!$B$28</f>
        <v/>
      </c>
      <c r="C13" s="14">
        <f>IF(C$4=1,Assumptions!$B$27,0)+Assumptions!$B$28</f>
        <v/>
      </c>
      <c r="D13" s="14">
        <f>IF(D$4=1,Assumptions!$B$27,0)+Assumptions!$B$28</f>
        <v/>
      </c>
      <c r="E13" s="14">
        <f>IF(E$4=1,Assumptions!$B$27,0)+Assumptions!$B$28</f>
        <v/>
      </c>
      <c r="F13" s="14">
        <f>IF(F$4=1,Assumptions!$B$27,0)+Assumptions!$B$28</f>
        <v/>
      </c>
      <c r="G13" s="14">
        <f>IF(G$4=1,Assumptions!$B$27,0)+Assumptions!$B$28</f>
        <v/>
      </c>
      <c r="H13" s="14">
        <f>IF(H$4=1,Assumptions!$B$27,0)+Assumptions!$B$28</f>
        <v/>
      </c>
      <c r="I13" s="14">
        <f>IF(I$4=1,Assumptions!$B$27,0)+Assumptions!$B$28</f>
        <v/>
      </c>
      <c r="J13" s="14">
        <f>IF(J$4=1,Assumptions!$B$27,0)+Assumptions!$B$28</f>
        <v/>
      </c>
      <c r="K13" s="14">
        <f>IF(K$4=1,Assumptions!$B$27,0)+Assumptions!$B$28</f>
        <v/>
      </c>
      <c r="L13" s="14">
        <f>IF(L$4=1,Assumptions!$B$27,0)+Assumptions!$B$28</f>
        <v/>
      </c>
      <c r="M13" s="14">
        <f>IF(M$4=1,Assumptions!$B$27,0)+Assumptions!$B$28</f>
        <v/>
      </c>
      <c r="N13" s="14">
        <f>IF(N$4=1,Assumptions!$B$27,0)+Assumptions!$B$28</f>
        <v/>
      </c>
      <c r="O13" s="14">
        <f>IF(O$4=1,Assumptions!$B$27,0)+Assumptions!$B$28</f>
        <v/>
      </c>
      <c r="P13" s="14">
        <f>IF(P$4=1,Assumptions!$B$27,0)+Assumptions!$B$28</f>
        <v/>
      </c>
      <c r="Q13" s="14">
        <f>IF(Q$4=1,Assumptions!$B$27,0)+Assumptions!$B$28</f>
        <v/>
      </c>
      <c r="R13" s="14">
        <f>IF(R$4=1,Assumptions!$B$27,0)+Assumptions!$B$28</f>
        <v/>
      </c>
      <c r="S13" s="14">
        <f>IF(S$4=1,Assumptions!$B$27,0)+Assumptions!$B$28</f>
        <v/>
      </c>
      <c r="T13" s="19">
        <f>SUM(B13:S13)</f>
        <v/>
      </c>
    </row>
    <row r="14">
      <c r="A14" s="6" t="inlineStr">
        <is>
          <t>Tools, devices and misc</t>
        </is>
      </c>
      <c r="B14" s="18">
        <f>Assumptions!$B$29</f>
        <v/>
      </c>
      <c r="C14" s="18">
        <f>Assumptions!$B$29</f>
        <v/>
      </c>
      <c r="D14" s="18">
        <f>Assumptions!$B$29</f>
        <v/>
      </c>
      <c r="E14" s="18">
        <f>Assumptions!$B$29</f>
        <v/>
      </c>
      <c r="F14" s="18">
        <f>Assumptions!$B$29</f>
        <v/>
      </c>
      <c r="G14" s="18">
        <f>Assumptions!$B$29</f>
        <v/>
      </c>
      <c r="H14" s="18">
        <f>Assumptions!$B$29</f>
        <v/>
      </c>
      <c r="I14" s="18">
        <f>Assumptions!$B$29</f>
        <v/>
      </c>
      <c r="J14" s="18">
        <f>Assumptions!$B$29</f>
        <v/>
      </c>
      <c r="K14" s="18">
        <f>Assumptions!$B$29</f>
        <v/>
      </c>
      <c r="L14" s="18">
        <f>Assumptions!$B$29</f>
        <v/>
      </c>
      <c r="M14" s="18">
        <f>Assumptions!$B$29</f>
        <v/>
      </c>
      <c r="N14" s="18">
        <f>Assumptions!$B$29</f>
        <v/>
      </c>
      <c r="O14" s="18">
        <f>Assumptions!$B$29</f>
        <v/>
      </c>
      <c r="P14" s="18">
        <f>Assumptions!$B$29</f>
        <v/>
      </c>
      <c r="Q14" s="18">
        <f>Assumptions!$B$29</f>
        <v/>
      </c>
      <c r="R14" s="18">
        <f>Assumptions!$B$29</f>
        <v/>
      </c>
      <c r="S14" s="18">
        <f>Assumptions!$B$29</f>
        <v/>
      </c>
      <c r="T14" s="19">
        <f>SUM(B14:S14)</f>
        <v/>
      </c>
    </row>
    <row r="15">
      <c r="A15" s="20" t="inlineStr">
        <is>
          <t>Total costs</t>
        </is>
      </c>
      <c r="B15" s="19">
        <f>B7+B8+B9+B10+B11+B13+B14+B12</f>
        <v/>
      </c>
      <c r="C15" s="19">
        <f>C7+C8+C9+C10+C11+C13+C14+C12</f>
        <v/>
      </c>
      <c r="D15" s="19">
        <f>D7+D8+D9+D10+D11+D13+D14+D12</f>
        <v/>
      </c>
      <c r="E15" s="19">
        <f>E7+E8+E9+E10+E11+E13+E14+E12</f>
        <v/>
      </c>
      <c r="F15" s="19">
        <f>F7+F8+F9+F10+F11+F13+F14+F12</f>
        <v/>
      </c>
      <c r="G15" s="19">
        <f>G7+G8+G9+G10+G11+G13+G14+G12</f>
        <v/>
      </c>
      <c r="H15" s="19">
        <f>H7+H8+H9+H10+H11+H13+H14+H12</f>
        <v/>
      </c>
      <c r="I15" s="19">
        <f>I7+I8+I9+I10+I11+I13+I14+I12</f>
        <v/>
      </c>
      <c r="J15" s="19">
        <f>J7+J8+J9+J10+J11+J13+J14+J12</f>
        <v/>
      </c>
      <c r="K15" s="19">
        <f>K7+K8+K9+K10+K11+K13+K14+K12</f>
        <v/>
      </c>
      <c r="L15" s="19">
        <f>L7+L8+L9+L10+L11+L13+L14+L12</f>
        <v/>
      </c>
      <c r="M15" s="19">
        <f>M7+M8+M9+M10+M11+M13+M14+M12</f>
        <v/>
      </c>
      <c r="N15" s="19">
        <f>N7+N8+N9+N10+N11+N13+N14+N12</f>
        <v/>
      </c>
      <c r="O15" s="19">
        <f>O7+O8+O9+O10+O11+O13+O14+O12</f>
        <v/>
      </c>
      <c r="P15" s="19">
        <f>P7+P8+P9+P10+P11+P13+P14+P12</f>
        <v/>
      </c>
      <c r="Q15" s="19">
        <f>Q7+Q8+Q9+Q10+Q11+Q13+Q14+Q12</f>
        <v/>
      </c>
      <c r="R15" s="19">
        <f>R7+R8+R9+R10+R11+R13+R14+R12</f>
        <v/>
      </c>
      <c r="S15" s="19">
        <f>S7+S8+S9+S10+S11+S13+S14+S12</f>
        <v/>
      </c>
      <c r="T15" s="19">
        <f>SUM(B15:S15)</f>
        <v/>
      </c>
    </row>
    <row r="16">
      <c r="A16" s="4" t="inlineStr">
        <is>
          <t>Users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6" t="inlineStr">
        <is>
          <t>New signups</t>
        </is>
      </c>
      <c r="B17" s="21">
        <f>IF(B$4&lt;=Assumptions!$B$7,0,IF(B$4&lt;=Assumptions!$B$8,Assumptions!$B$31,IF(B$4&lt;=Assumptions!$B$9,Assumptions!$B$32,Assumptions!$B$33)))</f>
        <v/>
      </c>
      <c r="C17" s="21">
        <f>IF(C$4&lt;=Assumptions!$B$7,0,IF(C$4&lt;=Assumptions!$B$8,Assumptions!$B$31,IF(C$4&lt;=Assumptions!$B$9,Assumptions!$B$32,Assumptions!$B$33)))</f>
        <v/>
      </c>
      <c r="D17" s="21">
        <f>IF(D$4&lt;=Assumptions!$B$7,0,IF(D$4&lt;=Assumptions!$B$8,Assumptions!$B$31,IF(D$4&lt;=Assumptions!$B$9,Assumptions!$B$32,Assumptions!$B$33)))</f>
        <v/>
      </c>
      <c r="E17" s="21">
        <f>IF(E$4&lt;=Assumptions!$B$7,0,IF(E$4&lt;=Assumptions!$B$8,Assumptions!$B$31,IF(E$4&lt;=Assumptions!$B$9,Assumptions!$B$32,Assumptions!$B$33)))</f>
        <v/>
      </c>
      <c r="F17" s="21">
        <f>IF(F$4&lt;=Assumptions!$B$7,0,IF(F$4&lt;=Assumptions!$B$8,Assumptions!$B$31,IF(F$4&lt;=Assumptions!$B$9,Assumptions!$B$32,Assumptions!$B$33)))</f>
        <v/>
      </c>
      <c r="G17" s="21">
        <f>IF(G$4&lt;=Assumptions!$B$7,0,IF(G$4&lt;=Assumptions!$B$8,Assumptions!$B$31,IF(G$4&lt;=Assumptions!$B$9,Assumptions!$B$32,Assumptions!$B$33)))</f>
        <v/>
      </c>
      <c r="H17" s="21">
        <f>IF(H$4&lt;=Assumptions!$B$7,0,IF(H$4&lt;=Assumptions!$B$8,Assumptions!$B$31,IF(H$4&lt;=Assumptions!$B$9,Assumptions!$B$32,Assumptions!$B$33)))</f>
        <v/>
      </c>
      <c r="I17" s="21">
        <f>IF(I$4&lt;=Assumptions!$B$7,0,IF(I$4&lt;=Assumptions!$B$8,Assumptions!$B$31,IF(I$4&lt;=Assumptions!$B$9,Assumptions!$B$32,Assumptions!$B$33)))</f>
        <v/>
      </c>
      <c r="J17" s="21">
        <f>IF(J$4&lt;=Assumptions!$B$7,0,IF(J$4&lt;=Assumptions!$B$8,Assumptions!$B$31,IF(J$4&lt;=Assumptions!$B$9,Assumptions!$B$32,Assumptions!$B$33)))</f>
        <v/>
      </c>
      <c r="K17" s="21">
        <f>IF(K$4&lt;=Assumptions!$B$7,0,IF(K$4&lt;=Assumptions!$B$8,Assumptions!$B$31,IF(K$4&lt;=Assumptions!$B$9,Assumptions!$B$32,Assumptions!$B$33)))</f>
        <v/>
      </c>
      <c r="L17" s="21">
        <f>IF(L$4&lt;=Assumptions!$B$7,0,IF(L$4&lt;=Assumptions!$B$8,Assumptions!$B$31,IF(L$4&lt;=Assumptions!$B$9,Assumptions!$B$32,Assumptions!$B$33)))</f>
        <v/>
      </c>
      <c r="M17" s="21">
        <f>IF(M$4&lt;=Assumptions!$B$7,0,IF(M$4&lt;=Assumptions!$B$8,Assumptions!$B$31,IF(M$4&lt;=Assumptions!$B$9,Assumptions!$B$32,Assumptions!$B$33)))</f>
        <v/>
      </c>
      <c r="N17" s="21">
        <f>IF(N$4&lt;=Assumptions!$B$7,0,IF(N$4&lt;=Assumptions!$B$8,Assumptions!$B$31,IF(N$4&lt;=Assumptions!$B$9,Assumptions!$B$32,Assumptions!$B$33)))</f>
        <v/>
      </c>
      <c r="O17" s="21">
        <f>IF(O$4&lt;=Assumptions!$B$7,0,IF(O$4&lt;=Assumptions!$B$8,Assumptions!$B$31,IF(O$4&lt;=Assumptions!$B$9,Assumptions!$B$32,Assumptions!$B$33)))</f>
        <v/>
      </c>
      <c r="P17" s="21">
        <f>IF(P$4&lt;=Assumptions!$B$7,0,IF(P$4&lt;=Assumptions!$B$8,Assumptions!$B$31,IF(P$4&lt;=Assumptions!$B$9,Assumptions!$B$32,Assumptions!$B$33)))</f>
        <v/>
      </c>
      <c r="Q17" s="21">
        <f>IF(Q$4&lt;=Assumptions!$B$7,0,IF(Q$4&lt;=Assumptions!$B$8,Assumptions!$B$31,IF(Q$4&lt;=Assumptions!$B$9,Assumptions!$B$32,Assumptions!$B$33)))</f>
        <v/>
      </c>
      <c r="R17" s="21">
        <f>IF(R$4&lt;=Assumptions!$B$7,0,IF(R$4&lt;=Assumptions!$B$8,Assumptions!$B$31,IF(R$4&lt;=Assumptions!$B$9,Assumptions!$B$32,Assumptions!$B$33)))</f>
        <v/>
      </c>
      <c r="S17" s="21">
        <f>IF(S$4&lt;=Assumptions!$B$7,0,IF(S$4&lt;=Assumptions!$B$8,Assumptions!$B$31,IF(S$4&lt;=Assumptions!$B$9,Assumptions!$B$32,Assumptions!$B$33)))</f>
        <v/>
      </c>
      <c r="T17" s="22">
        <f>SUM(B17:S17)</f>
        <v/>
      </c>
    </row>
    <row r="18">
      <c r="A18" s="6" t="inlineStr">
        <is>
          <t>Total signups</t>
        </is>
      </c>
      <c r="B18" s="21">
        <f>B17</f>
        <v/>
      </c>
      <c r="C18" s="21">
        <f>B18+C17</f>
        <v/>
      </c>
      <c r="D18" s="21">
        <f>C18+D17</f>
        <v/>
      </c>
      <c r="E18" s="21">
        <f>D18+E17</f>
        <v/>
      </c>
      <c r="F18" s="21">
        <f>E18+F17</f>
        <v/>
      </c>
      <c r="G18" s="21">
        <f>F18+G17</f>
        <v/>
      </c>
      <c r="H18" s="21">
        <f>G18+H17</f>
        <v/>
      </c>
      <c r="I18" s="21">
        <f>H18+I17</f>
        <v/>
      </c>
      <c r="J18" s="21">
        <f>I18+J17</f>
        <v/>
      </c>
      <c r="K18" s="21">
        <f>J18+K17</f>
        <v/>
      </c>
      <c r="L18" s="21">
        <f>K18+L17</f>
        <v/>
      </c>
      <c r="M18" s="21">
        <f>L18+M17</f>
        <v/>
      </c>
      <c r="N18" s="21">
        <f>M18+N17</f>
        <v/>
      </c>
      <c r="O18" s="21">
        <f>N18+O17</f>
        <v/>
      </c>
      <c r="P18" s="21">
        <f>O18+P17</f>
        <v/>
      </c>
      <c r="Q18" s="21">
        <f>P18+Q17</f>
        <v/>
      </c>
      <c r="R18" s="21">
        <f>Q18+R17</f>
        <v/>
      </c>
      <c r="S18" s="21">
        <f>R18+S17</f>
        <v/>
      </c>
      <c r="T18" s="2" t="n"/>
    </row>
    <row r="19">
      <c r="A19" s="6" t="inlineStr">
        <is>
          <t>Monthly active users</t>
        </is>
      </c>
      <c r="B19" s="21">
        <f>ROUND(B18*Assumptions!$B$34,0)</f>
        <v/>
      </c>
      <c r="C19" s="21">
        <f>ROUND(C18*Assumptions!$B$34,0)</f>
        <v/>
      </c>
      <c r="D19" s="21">
        <f>ROUND(D18*Assumptions!$B$34,0)</f>
        <v/>
      </c>
      <c r="E19" s="21">
        <f>ROUND(E18*Assumptions!$B$34,0)</f>
        <v/>
      </c>
      <c r="F19" s="21">
        <f>ROUND(F18*Assumptions!$B$34,0)</f>
        <v/>
      </c>
      <c r="G19" s="21">
        <f>ROUND(G18*Assumptions!$B$34,0)</f>
        <v/>
      </c>
      <c r="H19" s="21">
        <f>ROUND(H18*Assumptions!$B$34,0)</f>
        <v/>
      </c>
      <c r="I19" s="21">
        <f>ROUND(I18*Assumptions!$B$34,0)</f>
        <v/>
      </c>
      <c r="J19" s="21">
        <f>ROUND(J18*Assumptions!$B$34,0)</f>
        <v/>
      </c>
      <c r="K19" s="21">
        <f>ROUND(K18*Assumptions!$B$34,0)</f>
        <v/>
      </c>
      <c r="L19" s="21">
        <f>ROUND(L18*Assumptions!$B$34,0)</f>
        <v/>
      </c>
      <c r="M19" s="21">
        <f>ROUND(M18*Assumptions!$B$34,0)</f>
        <v/>
      </c>
      <c r="N19" s="21">
        <f>ROUND(N18*Assumptions!$B$34,0)</f>
        <v/>
      </c>
      <c r="O19" s="21">
        <f>ROUND(O18*Assumptions!$B$34,0)</f>
        <v/>
      </c>
      <c r="P19" s="21">
        <f>ROUND(P18*Assumptions!$B$34,0)</f>
        <v/>
      </c>
      <c r="Q19" s="21">
        <f>ROUND(Q18*Assumptions!$B$34,0)</f>
        <v/>
      </c>
      <c r="R19" s="21">
        <f>ROUND(R18*Assumptions!$B$34,0)</f>
        <v/>
      </c>
      <c r="S19" s="21">
        <f>ROUND(S18*Assumptions!$B$34,0)</f>
        <v/>
      </c>
      <c r="T19" s="2" t="n"/>
    </row>
    <row r="20">
      <c r="A20" s="6" t="inlineStr">
        <is>
          <t>Paying users</t>
        </is>
      </c>
      <c r="B20" s="21">
        <f>IF(B$4&gt;=Assumptions!$B$10,ROUND(B19*Assumptions!$B$35,0),0)</f>
        <v/>
      </c>
      <c r="C20" s="21">
        <f>IF(C$4&gt;=Assumptions!$B$10,ROUND(C19*Assumptions!$B$35,0),0)</f>
        <v/>
      </c>
      <c r="D20" s="21">
        <f>IF(D$4&gt;=Assumptions!$B$10,ROUND(D19*Assumptions!$B$35,0),0)</f>
        <v/>
      </c>
      <c r="E20" s="21">
        <f>IF(E$4&gt;=Assumptions!$B$10,ROUND(E19*Assumptions!$B$35,0),0)</f>
        <v/>
      </c>
      <c r="F20" s="21">
        <f>IF(F$4&gt;=Assumptions!$B$10,ROUND(F19*Assumptions!$B$35,0),0)</f>
        <v/>
      </c>
      <c r="G20" s="21">
        <f>IF(G$4&gt;=Assumptions!$B$10,ROUND(G19*Assumptions!$B$35,0),0)</f>
        <v/>
      </c>
      <c r="H20" s="21">
        <f>IF(H$4&gt;=Assumptions!$B$10,ROUND(H19*Assumptions!$B$35,0),0)</f>
        <v/>
      </c>
      <c r="I20" s="21">
        <f>IF(I$4&gt;=Assumptions!$B$10,ROUND(I19*Assumptions!$B$35,0),0)</f>
        <v/>
      </c>
      <c r="J20" s="21">
        <f>IF(J$4&gt;=Assumptions!$B$10,ROUND(J19*Assumptions!$B$35,0),0)</f>
        <v/>
      </c>
      <c r="K20" s="21">
        <f>IF(K$4&gt;=Assumptions!$B$10,ROUND(K19*Assumptions!$B$35,0),0)</f>
        <v/>
      </c>
      <c r="L20" s="21">
        <f>IF(L$4&gt;=Assumptions!$B$10,ROUND(L19*Assumptions!$B$35,0),0)</f>
        <v/>
      </c>
      <c r="M20" s="21">
        <f>IF(M$4&gt;=Assumptions!$B$10,ROUND(M19*Assumptions!$B$35,0),0)</f>
        <v/>
      </c>
      <c r="N20" s="21">
        <f>IF(N$4&gt;=Assumptions!$B$10,ROUND(N19*Assumptions!$B$35,0),0)</f>
        <v/>
      </c>
      <c r="O20" s="21">
        <f>IF(O$4&gt;=Assumptions!$B$10,ROUND(O19*Assumptions!$B$35,0),0)</f>
        <v/>
      </c>
      <c r="P20" s="21">
        <f>IF(P$4&gt;=Assumptions!$B$10,ROUND(P19*Assumptions!$B$35,0),0)</f>
        <v/>
      </c>
      <c r="Q20" s="21">
        <f>IF(Q$4&gt;=Assumptions!$B$10,ROUND(Q19*Assumptions!$B$35,0),0)</f>
        <v/>
      </c>
      <c r="R20" s="21">
        <f>IF(R$4&gt;=Assumptions!$B$10,ROUND(R19*Assumptions!$B$35,0),0)</f>
        <v/>
      </c>
      <c r="S20" s="21">
        <f>IF(S$4&gt;=Assumptions!$B$10,ROUND(S19*Assumptions!$B$35,0),0)</f>
        <v/>
      </c>
      <c r="T20" s="2" t="n"/>
    </row>
    <row r="21">
      <c r="A21" s="4" t="inlineStr">
        <is>
          <t>Revenue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6" t="inlineStr">
        <is>
          <t>Heartbeat+ gross bookings (incl. GST)</t>
        </is>
      </c>
      <c r="B22" s="14">
        <f>B20*Assumptions!$B$40</f>
        <v/>
      </c>
      <c r="C22" s="14">
        <f>C20*Assumptions!$B$40</f>
        <v/>
      </c>
      <c r="D22" s="14">
        <f>D20*Assumptions!$B$40</f>
        <v/>
      </c>
      <c r="E22" s="14">
        <f>E20*Assumptions!$B$40</f>
        <v/>
      </c>
      <c r="F22" s="14">
        <f>F20*Assumptions!$B$40</f>
        <v/>
      </c>
      <c r="G22" s="14">
        <f>G20*Assumptions!$B$40</f>
        <v/>
      </c>
      <c r="H22" s="14">
        <f>H20*Assumptions!$B$40</f>
        <v/>
      </c>
      <c r="I22" s="14">
        <f>I20*Assumptions!$B$40</f>
        <v/>
      </c>
      <c r="J22" s="14">
        <f>J20*Assumptions!$B$40</f>
        <v/>
      </c>
      <c r="K22" s="14">
        <f>K20*Assumptions!$B$40</f>
        <v/>
      </c>
      <c r="L22" s="14">
        <f>L20*Assumptions!$B$40</f>
        <v/>
      </c>
      <c r="M22" s="14">
        <f>M20*Assumptions!$B$40</f>
        <v/>
      </c>
      <c r="N22" s="14">
        <f>N20*Assumptions!$B$40</f>
        <v/>
      </c>
      <c r="O22" s="14">
        <f>O20*Assumptions!$B$40</f>
        <v/>
      </c>
      <c r="P22" s="14">
        <f>P20*Assumptions!$B$40</f>
        <v/>
      </c>
      <c r="Q22" s="14">
        <f>Q20*Assumptions!$B$40</f>
        <v/>
      </c>
      <c r="R22" s="14">
        <f>R20*Assumptions!$B$40</f>
        <v/>
      </c>
      <c r="S22" s="14">
        <f>S20*Assumptions!$B$40</f>
        <v/>
      </c>
      <c r="T22" s="19">
        <f>SUM(B22:S22)</f>
        <v/>
      </c>
    </row>
    <row r="23">
      <c r="A23" s="6" t="inlineStr">
        <is>
          <t>Less GST</t>
        </is>
      </c>
      <c r="B23" s="14">
        <f>-(B22-B22/(1+Assumptions!$B$41))</f>
        <v/>
      </c>
      <c r="C23" s="14">
        <f>-(C22-C22/(1+Assumptions!$B$41))</f>
        <v/>
      </c>
      <c r="D23" s="14">
        <f>-(D22-D22/(1+Assumptions!$B$41))</f>
        <v/>
      </c>
      <c r="E23" s="14">
        <f>-(E22-E22/(1+Assumptions!$B$41))</f>
        <v/>
      </c>
      <c r="F23" s="14">
        <f>-(F22-F22/(1+Assumptions!$B$41))</f>
        <v/>
      </c>
      <c r="G23" s="14">
        <f>-(G22-G22/(1+Assumptions!$B$41))</f>
        <v/>
      </c>
      <c r="H23" s="14">
        <f>-(H22-H22/(1+Assumptions!$B$41))</f>
        <v/>
      </c>
      <c r="I23" s="14">
        <f>-(I22-I22/(1+Assumptions!$B$41))</f>
        <v/>
      </c>
      <c r="J23" s="14">
        <f>-(J22-J22/(1+Assumptions!$B$41))</f>
        <v/>
      </c>
      <c r="K23" s="14">
        <f>-(K22-K22/(1+Assumptions!$B$41))</f>
        <v/>
      </c>
      <c r="L23" s="14">
        <f>-(L22-L22/(1+Assumptions!$B$41))</f>
        <v/>
      </c>
      <c r="M23" s="14">
        <f>-(M22-M22/(1+Assumptions!$B$41))</f>
        <v/>
      </c>
      <c r="N23" s="14">
        <f>-(N22-N22/(1+Assumptions!$B$41))</f>
        <v/>
      </c>
      <c r="O23" s="14">
        <f>-(O22-O22/(1+Assumptions!$B$41))</f>
        <v/>
      </c>
      <c r="P23" s="14">
        <f>-(P22-P22/(1+Assumptions!$B$41))</f>
        <v/>
      </c>
      <c r="Q23" s="14">
        <f>-(Q22-Q22/(1+Assumptions!$B$41))</f>
        <v/>
      </c>
      <c r="R23" s="14">
        <f>-(R22-R22/(1+Assumptions!$B$41))</f>
        <v/>
      </c>
      <c r="S23" s="14">
        <f>-(S22-S22/(1+Assumptions!$B$41))</f>
        <v/>
      </c>
      <c r="T23" s="19">
        <f>SUM(B23:S23)</f>
        <v/>
      </c>
    </row>
    <row r="24">
      <c r="A24" s="6" t="inlineStr">
        <is>
          <t>Less payment fees</t>
        </is>
      </c>
      <c r="B24" s="14">
        <f>-B22*Assumptions!$B$42</f>
        <v/>
      </c>
      <c r="C24" s="14">
        <f>-C22*Assumptions!$B$42</f>
        <v/>
      </c>
      <c r="D24" s="14">
        <f>-D22*Assumptions!$B$42</f>
        <v/>
      </c>
      <c r="E24" s="14">
        <f>-E22*Assumptions!$B$42</f>
        <v/>
      </c>
      <c r="F24" s="14">
        <f>-F22*Assumptions!$B$42</f>
        <v/>
      </c>
      <c r="G24" s="14">
        <f>-G22*Assumptions!$B$42</f>
        <v/>
      </c>
      <c r="H24" s="14">
        <f>-H22*Assumptions!$B$42</f>
        <v/>
      </c>
      <c r="I24" s="14">
        <f>-I22*Assumptions!$B$42</f>
        <v/>
      </c>
      <c r="J24" s="14">
        <f>-J22*Assumptions!$B$42</f>
        <v/>
      </c>
      <c r="K24" s="14">
        <f>-K22*Assumptions!$B$42</f>
        <v/>
      </c>
      <c r="L24" s="14">
        <f>-L22*Assumptions!$B$42</f>
        <v/>
      </c>
      <c r="M24" s="14">
        <f>-M22*Assumptions!$B$42</f>
        <v/>
      </c>
      <c r="N24" s="14">
        <f>-N22*Assumptions!$B$42</f>
        <v/>
      </c>
      <c r="O24" s="14">
        <f>-O22*Assumptions!$B$42</f>
        <v/>
      </c>
      <c r="P24" s="14">
        <f>-P22*Assumptions!$B$42</f>
        <v/>
      </c>
      <c r="Q24" s="14">
        <f>-Q22*Assumptions!$B$42</f>
        <v/>
      </c>
      <c r="R24" s="14">
        <f>-R22*Assumptions!$B$42</f>
        <v/>
      </c>
      <c r="S24" s="14">
        <f>-S22*Assumptions!$B$42</f>
        <v/>
      </c>
      <c r="T24" s="19">
        <f>SUM(B24:S24)</f>
        <v/>
      </c>
    </row>
    <row r="25">
      <c r="A25" s="6" t="inlineStr">
        <is>
          <t>Heartbeat+ net revenue</t>
        </is>
      </c>
      <c r="B25" s="14">
        <f>B22+B23+B24</f>
        <v/>
      </c>
      <c r="C25" s="14">
        <f>C22+C23+C24</f>
        <v/>
      </c>
      <c r="D25" s="14">
        <f>D22+D23+D24</f>
        <v/>
      </c>
      <c r="E25" s="14">
        <f>E22+E23+E24</f>
        <v/>
      </c>
      <c r="F25" s="14">
        <f>F22+F23+F24</f>
        <v/>
      </c>
      <c r="G25" s="14">
        <f>G22+G23+G24</f>
        <v/>
      </c>
      <c r="H25" s="14">
        <f>H22+H23+H24</f>
        <v/>
      </c>
      <c r="I25" s="14">
        <f>I22+I23+I24</f>
        <v/>
      </c>
      <c r="J25" s="14">
        <f>J22+J23+J24</f>
        <v/>
      </c>
      <c r="K25" s="14">
        <f>K22+K23+K24</f>
        <v/>
      </c>
      <c r="L25" s="14">
        <f>L22+L23+L24</f>
        <v/>
      </c>
      <c r="M25" s="14">
        <f>M22+M23+M24</f>
        <v/>
      </c>
      <c r="N25" s="14">
        <f>N22+N23+N24</f>
        <v/>
      </c>
      <c r="O25" s="14">
        <f>O22+O23+O24</f>
        <v/>
      </c>
      <c r="P25" s="14">
        <f>P22+P23+P24</f>
        <v/>
      </c>
      <c r="Q25" s="14">
        <f>Q22+Q23+Q24</f>
        <v/>
      </c>
      <c r="R25" s="14">
        <f>R22+R23+R24</f>
        <v/>
      </c>
      <c r="S25" s="14">
        <f>S22+S23+S24</f>
        <v/>
      </c>
      <c r="T25" s="19">
        <f>SUM(B25:S25)</f>
        <v/>
      </c>
    </row>
    <row r="26">
      <c r="A26" s="6" t="inlineStr">
        <is>
          <t>Free monthly active users</t>
        </is>
      </c>
      <c r="B26" s="21">
        <f>B19-B20</f>
        <v/>
      </c>
      <c r="C26" s="21">
        <f>C19-C20</f>
        <v/>
      </c>
      <c r="D26" s="21">
        <f>D19-D20</f>
        <v/>
      </c>
      <c r="E26" s="21">
        <f>E19-E20</f>
        <v/>
      </c>
      <c r="F26" s="21">
        <f>F19-F20</f>
        <v/>
      </c>
      <c r="G26" s="21">
        <f>G19-G20</f>
        <v/>
      </c>
      <c r="H26" s="21">
        <f>H19-H20</f>
        <v/>
      </c>
      <c r="I26" s="21">
        <f>I19-I20</f>
        <v/>
      </c>
      <c r="J26" s="21">
        <f>J19-J20</f>
        <v/>
      </c>
      <c r="K26" s="21">
        <f>K19-K20</f>
        <v/>
      </c>
      <c r="L26" s="21">
        <f>L19-L20</f>
        <v/>
      </c>
      <c r="M26" s="21">
        <f>M19-M20</f>
        <v/>
      </c>
      <c r="N26" s="21">
        <f>N19-N20</f>
        <v/>
      </c>
      <c r="O26" s="21">
        <f>O19-O20</f>
        <v/>
      </c>
      <c r="P26" s="21">
        <f>P19-P20</f>
        <v/>
      </c>
      <c r="Q26" s="21">
        <f>Q19-Q20</f>
        <v/>
      </c>
      <c r="R26" s="21">
        <f>R19-R20</f>
        <v/>
      </c>
      <c r="S26" s="21">
        <f>S19-S20</f>
        <v/>
      </c>
      <c r="T26" s="2" t="n"/>
    </row>
    <row r="27">
      <c r="A27" s="6" t="inlineStr">
        <is>
          <t>Ad revenue</t>
        </is>
      </c>
      <c r="B27" s="14">
        <f>IF(B$4&gt;=Assumptions!$B$44,B26/1000*(Assumptions!$B$45*Assumptions!$B$46+Assumptions!$B$47*Assumptions!$B$48),0)</f>
        <v/>
      </c>
      <c r="C27" s="14">
        <f>IF(C$4&gt;=Assumptions!$B$44,C26/1000*(Assumptions!$B$45*Assumptions!$B$46+Assumptions!$B$47*Assumptions!$B$48),0)</f>
        <v/>
      </c>
      <c r="D27" s="14">
        <f>IF(D$4&gt;=Assumptions!$B$44,D26/1000*(Assumptions!$B$45*Assumptions!$B$46+Assumptions!$B$47*Assumptions!$B$48),0)</f>
        <v/>
      </c>
      <c r="E27" s="14">
        <f>IF(E$4&gt;=Assumptions!$B$44,E26/1000*(Assumptions!$B$45*Assumptions!$B$46+Assumptions!$B$47*Assumptions!$B$48),0)</f>
        <v/>
      </c>
      <c r="F27" s="14">
        <f>IF(F$4&gt;=Assumptions!$B$44,F26/1000*(Assumptions!$B$45*Assumptions!$B$46+Assumptions!$B$47*Assumptions!$B$48),0)</f>
        <v/>
      </c>
      <c r="G27" s="14">
        <f>IF(G$4&gt;=Assumptions!$B$44,G26/1000*(Assumptions!$B$45*Assumptions!$B$46+Assumptions!$B$47*Assumptions!$B$48),0)</f>
        <v/>
      </c>
      <c r="H27" s="14">
        <f>IF(H$4&gt;=Assumptions!$B$44,H26/1000*(Assumptions!$B$45*Assumptions!$B$46+Assumptions!$B$47*Assumptions!$B$48),0)</f>
        <v/>
      </c>
      <c r="I27" s="14">
        <f>IF(I$4&gt;=Assumptions!$B$44,I26/1000*(Assumptions!$B$45*Assumptions!$B$46+Assumptions!$B$47*Assumptions!$B$48),0)</f>
        <v/>
      </c>
      <c r="J27" s="14">
        <f>IF(J$4&gt;=Assumptions!$B$44,J26/1000*(Assumptions!$B$45*Assumptions!$B$46+Assumptions!$B$47*Assumptions!$B$48),0)</f>
        <v/>
      </c>
      <c r="K27" s="14">
        <f>IF(K$4&gt;=Assumptions!$B$44,K26/1000*(Assumptions!$B$45*Assumptions!$B$46+Assumptions!$B$47*Assumptions!$B$48),0)</f>
        <v/>
      </c>
      <c r="L27" s="14">
        <f>IF(L$4&gt;=Assumptions!$B$44,L26/1000*(Assumptions!$B$45*Assumptions!$B$46+Assumptions!$B$47*Assumptions!$B$48),0)</f>
        <v/>
      </c>
      <c r="M27" s="14">
        <f>IF(M$4&gt;=Assumptions!$B$44,M26/1000*(Assumptions!$B$45*Assumptions!$B$46+Assumptions!$B$47*Assumptions!$B$48),0)</f>
        <v/>
      </c>
      <c r="N27" s="14">
        <f>IF(N$4&gt;=Assumptions!$B$44,N26/1000*(Assumptions!$B$45*Assumptions!$B$46+Assumptions!$B$47*Assumptions!$B$48),0)</f>
        <v/>
      </c>
      <c r="O27" s="14">
        <f>IF(O$4&gt;=Assumptions!$B$44,O26/1000*(Assumptions!$B$45*Assumptions!$B$46+Assumptions!$B$47*Assumptions!$B$48),0)</f>
        <v/>
      </c>
      <c r="P27" s="14">
        <f>IF(P$4&gt;=Assumptions!$B$44,P26/1000*(Assumptions!$B$45*Assumptions!$B$46+Assumptions!$B$47*Assumptions!$B$48),0)</f>
        <v/>
      </c>
      <c r="Q27" s="14">
        <f>IF(Q$4&gt;=Assumptions!$B$44,Q26/1000*(Assumptions!$B$45*Assumptions!$B$46+Assumptions!$B$47*Assumptions!$B$48),0)</f>
        <v/>
      </c>
      <c r="R27" s="14">
        <f>IF(R$4&gt;=Assumptions!$B$44,R26/1000*(Assumptions!$B$45*Assumptions!$B$46+Assumptions!$B$47*Assumptions!$B$48),0)</f>
        <v/>
      </c>
      <c r="S27" s="14">
        <f>IF(S$4&gt;=Assumptions!$B$44,S26/1000*(Assumptions!$B$45*Assumptions!$B$46+Assumptions!$B$47*Assumptions!$B$48),0)</f>
        <v/>
      </c>
      <c r="T27" s="19">
        <f>SUM(B27:S27)</f>
        <v/>
      </c>
    </row>
    <row r="28">
      <c r="A28" s="6" t="inlineStr">
        <is>
          <t>Affiliate commission</t>
        </is>
      </c>
      <c r="B28" s="14">
        <f>IF(B$4&gt;=Assumptions!$B$50,B19*Assumptions!$B$51*Assumptions!$B$52*Assumptions!$B$53*Assumptions!$B$54*Assumptions!$B$55,0)</f>
        <v/>
      </c>
      <c r="C28" s="14">
        <f>IF(C$4&gt;=Assumptions!$B$50,C19*Assumptions!$B$51*Assumptions!$B$52*Assumptions!$B$53*Assumptions!$B$54*Assumptions!$B$55,0)</f>
        <v/>
      </c>
      <c r="D28" s="14">
        <f>IF(D$4&gt;=Assumptions!$B$50,D19*Assumptions!$B$51*Assumptions!$B$52*Assumptions!$B$53*Assumptions!$B$54*Assumptions!$B$55,0)</f>
        <v/>
      </c>
      <c r="E28" s="14">
        <f>IF(E$4&gt;=Assumptions!$B$50,E19*Assumptions!$B$51*Assumptions!$B$52*Assumptions!$B$53*Assumptions!$B$54*Assumptions!$B$55,0)</f>
        <v/>
      </c>
      <c r="F28" s="14">
        <f>IF(F$4&gt;=Assumptions!$B$50,F19*Assumptions!$B$51*Assumptions!$B$52*Assumptions!$B$53*Assumptions!$B$54*Assumptions!$B$55,0)</f>
        <v/>
      </c>
      <c r="G28" s="14">
        <f>IF(G$4&gt;=Assumptions!$B$50,G19*Assumptions!$B$51*Assumptions!$B$52*Assumptions!$B$53*Assumptions!$B$54*Assumptions!$B$55,0)</f>
        <v/>
      </c>
      <c r="H28" s="14">
        <f>IF(H$4&gt;=Assumptions!$B$50,H19*Assumptions!$B$51*Assumptions!$B$52*Assumptions!$B$53*Assumptions!$B$54*Assumptions!$B$55,0)</f>
        <v/>
      </c>
      <c r="I28" s="14">
        <f>IF(I$4&gt;=Assumptions!$B$50,I19*Assumptions!$B$51*Assumptions!$B$52*Assumptions!$B$53*Assumptions!$B$54*Assumptions!$B$55,0)</f>
        <v/>
      </c>
      <c r="J28" s="14">
        <f>IF(J$4&gt;=Assumptions!$B$50,J19*Assumptions!$B$51*Assumptions!$B$52*Assumptions!$B$53*Assumptions!$B$54*Assumptions!$B$55,0)</f>
        <v/>
      </c>
      <c r="K28" s="14">
        <f>IF(K$4&gt;=Assumptions!$B$50,K19*Assumptions!$B$51*Assumptions!$B$52*Assumptions!$B$53*Assumptions!$B$54*Assumptions!$B$55,0)</f>
        <v/>
      </c>
      <c r="L28" s="14">
        <f>IF(L$4&gt;=Assumptions!$B$50,L19*Assumptions!$B$51*Assumptions!$B$52*Assumptions!$B$53*Assumptions!$B$54*Assumptions!$B$55,0)</f>
        <v/>
      </c>
      <c r="M28" s="14">
        <f>IF(M$4&gt;=Assumptions!$B$50,M19*Assumptions!$B$51*Assumptions!$B$52*Assumptions!$B$53*Assumptions!$B$54*Assumptions!$B$55,0)</f>
        <v/>
      </c>
      <c r="N28" s="14">
        <f>IF(N$4&gt;=Assumptions!$B$50,N19*Assumptions!$B$51*Assumptions!$B$52*Assumptions!$B$53*Assumptions!$B$54*Assumptions!$B$55,0)</f>
        <v/>
      </c>
      <c r="O28" s="14">
        <f>IF(O$4&gt;=Assumptions!$B$50,O19*Assumptions!$B$51*Assumptions!$B$52*Assumptions!$B$53*Assumptions!$B$54*Assumptions!$B$55,0)</f>
        <v/>
      </c>
      <c r="P28" s="14">
        <f>IF(P$4&gt;=Assumptions!$B$50,P19*Assumptions!$B$51*Assumptions!$B$52*Assumptions!$B$53*Assumptions!$B$54*Assumptions!$B$55,0)</f>
        <v/>
      </c>
      <c r="Q28" s="14">
        <f>IF(Q$4&gt;=Assumptions!$B$50,Q19*Assumptions!$B$51*Assumptions!$B$52*Assumptions!$B$53*Assumptions!$B$54*Assumptions!$B$55,0)</f>
        <v/>
      </c>
      <c r="R28" s="14">
        <f>IF(R$4&gt;=Assumptions!$B$50,R19*Assumptions!$B$51*Assumptions!$B$52*Assumptions!$B$53*Assumptions!$B$54*Assumptions!$B$55,0)</f>
        <v/>
      </c>
      <c r="S28" s="14">
        <f>IF(S$4&gt;=Assumptions!$B$50,S19*Assumptions!$B$51*Assumptions!$B$52*Assumptions!$B$53*Assumptions!$B$54*Assumptions!$B$55,0)</f>
        <v/>
      </c>
      <c r="T28" s="19">
        <f>SUM(B28:S28)</f>
        <v/>
      </c>
    </row>
    <row r="29">
      <c r="A29" s="20" t="inlineStr">
        <is>
          <t>Total net revenue</t>
        </is>
      </c>
      <c r="B29" s="19">
        <f>B25+B27+B28</f>
        <v/>
      </c>
      <c r="C29" s="19">
        <f>C25+C27+C28</f>
        <v/>
      </c>
      <c r="D29" s="19">
        <f>D25+D27+D28</f>
        <v/>
      </c>
      <c r="E29" s="19">
        <f>E25+E27+E28</f>
        <v/>
      </c>
      <c r="F29" s="19">
        <f>F25+F27+F28</f>
        <v/>
      </c>
      <c r="G29" s="19">
        <f>G25+G27+G28</f>
        <v/>
      </c>
      <c r="H29" s="19">
        <f>H25+H27+H28</f>
        <v/>
      </c>
      <c r="I29" s="19">
        <f>I25+I27+I28</f>
        <v/>
      </c>
      <c r="J29" s="19">
        <f>J25+J27+J28</f>
        <v/>
      </c>
      <c r="K29" s="19">
        <f>K25+K27+K28</f>
        <v/>
      </c>
      <c r="L29" s="19">
        <f>L25+L27+L28</f>
        <v/>
      </c>
      <c r="M29" s="19">
        <f>M25+M27+M28</f>
        <v/>
      </c>
      <c r="N29" s="19">
        <f>N25+N27+N28</f>
        <v/>
      </c>
      <c r="O29" s="19">
        <f>O25+O27+O28</f>
        <v/>
      </c>
      <c r="P29" s="19">
        <f>P25+P27+P28</f>
        <v/>
      </c>
      <c r="Q29" s="19">
        <f>Q25+Q27+Q28</f>
        <v/>
      </c>
      <c r="R29" s="19">
        <f>R25+R27+R28</f>
        <v/>
      </c>
      <c r="S29" s="19">
        <f>S25+S27+S28</f>
        <v/>
      </c>
      <c r="T29" s="19">
        <f>SUM(B29:S29)</f>
        <v/>
      </c>
    </row>
    <row r="30">
      <c r="A30" s="4" t="inlineStr">
        <is>
          <t>Cash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20" t="inlineStr">
        <is>
          <t>Net burn (costs minus net revenue)</t>
        </is>
      </c>
      <c r="B31" s="19">
        <f>B15-B29</f>
        <v/>
      </c>
      <c r="C31" s="19">
        <f>C15-C29</f>
        <v/>
      </c>
      <c r="D31" s="19">
        <f>D15-D29</f>
        <v/>
      </c>
      <c r="E31" s="19">
        <f>E15-E29</f>
        <v/>
      </c>
      <c r="F31" s="19">
        <f>F15-F29</f>
        <v/>
      </c>
      <c r="G31" s="19">
        <f>G15-G29</f>
        <v/>
      </c>
      <c r="H31" s="19">
        <f>H15-H29</f>
        <v/>
      </c>
      <c r="I31" s="19">
        <f>I15-I29</f>
        <v/>
      </c>
      <c r="J31" s="19">
        <f>J15-J29</f>
        <v/>
      </c>
      <c r="K31" s="19">
        <f>K15-K29</f>
        <v/>
      </c>
      <c r="L31" s="19">
        <f>L15-L29</f>
        <v/>
      </c>
      <c r="M31" s="19">
        <f>M15-M29</f>
        <v/>
      </c>
      <c r="N31" s="19">
        <f>N15-N29</f>
        <v/>
      </c>
      <c r="O31" s="19">
        <f>O15-O29</f>
        <v/>
      </c>
      <c r="P31" s="19">
        <f>P15-P29</f>
        <v/>
      </c>
      <c r="Q31" s="19">
        <f>Q15-Q29</f>
        <v/>
      </c>
      <c r="R31" s="19">
        <f>R15-R29</f>
        <v/>
      </c>
      <c r="S31" s="19">
        <f>S15-S29</f>
        <v/>
      </c>
      <c r="T31" s="19">
        <f>SUM(B31:S31)</f>
        <v/>
      </c>
    </row>
    <row r="32">
      <c r="A32" s="20" t="inlineStr">
        <is>
          <t>Cash at end of month</t>
        </is>
      </c>
      <c r="B32" s="18">
        <f>Assumptions!$B$5-B31</f>
        <v/>
      </c>
      <c r="C32" s="19">
        <f>B32-C31</f>
        <v/>
      </c>
      <c r="D32" s="19">
        <f>C32-D31</f>
        <v/>
      </c>
      <c r="E32" s="19">
        <f>D32-E31</f>
        <v/>
      </c>
      <c r="F32" s="19">
        <f>E32-F31</f>
        <v/>
      </c>
      <c r="G32" s="19">
        <f>F32-G31</f>
        <v/>
      </c>
      <c r="H32" s="19">
        <f>G32-H31</f>
        <v/>
      </c>
      <c r="I32" s="19">
        <f>H32-I31</f>
        <v/>
      </c>
      <c r="J32" s="19">
        <f>I32-J31</f>
        <v/>
      </c>
      <c r="K32" s="19">
        <f>J32-K31</f>
        <v/>
      </c>
      <c r="L32" s="19">
        <f>K32-L31</f>
        <v/>
      </c>
      <c r="M32" s="19">
        <f>L32-M31</f>
        <v/>
      </c>
      <c r="N32" s="19">
        <f>M32-N31</f>
        <v/>
      </c>
      <c r="O32" s="19">
        <f>N32-O31</f>
        <v/>
      </c>
      <c r="P32" s="19">
        <f>O32-P31</f>
        <v/>
      </c>
      <c r="Q32" s="19">
        <f>P32-Q31</f>
        <v/>
      </c>
      <c r="R32" s="19">
        <f>Q32-R31</f>
        <v/>
      </c>
      <c r="S32" s="19">
        <f>R32-S31</f>
        <v/>
      </c>
      <c r="T3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</cols>
  <sheetData>
    <row r="1">
      <c r="A1" s="1" t="inlineStr">
        <is>
          <t>Use of funds and headline numbers</t>
        </is>
      </c>
      <c r="B1" s="2" t="n"/>
      <c r="C1" s="2" t="n"/>
    </row>
    <row r="2">
      <c r="A2" s="2" t="n"/>
      <c r="B2" s="2" t="n"/>
      <c r="C2" s="2" t="n"/>
    </row>
    <row r="3">
      <c r="A3" s="15" t="inlineStr">
        <is>
          <t>Category</t>
        </is>
      </c>
      <c r="B3" s="15" t="inlineStr">
        <is>
          <t>18-month total (₹)</t>
        </is>
      </c>
      <c r="C3" s="15" t="inlineStr">
        <is>
          <t>% of raise</t>
        </is>
      </c>
    </row>
    <row r="4">
      <c r="A4" s="6" t="inlineStr">
        <is>
          <t>Team (founder + 3 roles)</t>
        </is>
      </c>
      <c r="B4" s="18">
        <f>Monthly!T7+Monthly!T8+Monthly!T9+Monthly!T10</f>
        <v/>
      </c>
      <c r="C4" s="23">
        <f>IF(Assumptions!$B$5=0,0,B4/Assumptions!$B$5)</f>
        <v/>
      </c>
    </row>
    <row r="5">
      <c r="A5" s="6" t="inlineStr">
        <is>
          <t>Marketing and community</t>
        </is>
      </c>
      <c r="B5" s="18">
        <f>Monthly!T11</f>
        <v/>
      </c>
      <c r="C5" s="23">
        <f>IF(Assumptions!$B$5=0,0,B5/Assumptions!$B$5)</f>
        <v/>
      </c>
    </row>
    <row r="6">
      <c r="A6" s="6" t="inlineStr">
        <is>
          <t>Infrastructure</t>
        </is>
      </c>
      <c r="B6" s="18">
        <f>Monthly!T12</f>
        <v/>
      </c>
      <c r="C6" s="23">
        <f>IF(Assumptions!$B$5=0,0,B6/Assumptions!$B$5)</f>
        <v/>
      </c>
    </row>
    <row r="7">
      <c r="A7" s="6" t="inlineStr">
        <is>
          <t>Legal, accounting and compliance</t>
        </is>
      </c>
      <c r="B7" s="18">
        <f>Monthly!T13</f>
        <v/>
      </c>
      <c r="C7" s="23">
        <f>IF(Assumptions!$B$5=0,0,B7/Assumptions!$B$5)</f>
        <v/>
      </c>
    </row>
    <row r="8">
      <c r="A8" s="6" t="inlineStr">
        <is>
          <t>Tools, devices and misc</t>
        </is>
      </c>
      <c r="B8" s="18">
        <f>Monthly!T14</f>
        <v/>
      </c>
      <c r="C8" s="23">
        <f>IF(Assumptions!$B$5=0,0,B8/Assumptions!$B$5)</f>
        <v/>
      </c>
    </row>
    <row r="9">
      <c r="A9" s="20" t="inlineStr">
        <is>
          <t>Total costs</t>
        </is>
      </c>
      <c r="B9" s="19">
        <f>SUM(B4:B8)</f>
        <v/>
      </c>
      <c r="C9" s="24">
        <f>IF(Assumptions!$B$5=0,0,B9/Assumptions!$B$5)</f>
        <v/>
      </c>
    </row>
    <row r="10">
      <c r="A10" s="2" t="n"/>
      <c r="B10" s="2" t="n"/>
      <c r="C10" s="2" t="n"/>
    </row>
    <row r="11">
      <c r="A11" s="20" t="inlineStr">
        <is>
          <t>Headline numbers</t>
        </is>
      </c>
      <c r="B11" s="2" t="n"/>
      <c r="C11" s="2" t="n"/>
    </row>
    <row r="12">
      <c r="A12" s="6" t="inlineStr">
        <is>
          <t>Raise</t>
        </is>
      </c>
      <c r="B12" s="18">
        <f>Assumptions!$B$5</f>
        <v/>
      </c>
      <c r="C12" s="2" t="n"/>
    </row>
    <row r="13">
      <c r="A13" s="6" t="inlineStr">
        <is>
          <t>Net revenue over 18 months</t>
        </is>
      </c>
      <c r="B13" s="18">
        <f>Monthly!T29</f>
        <v/>
      </c>
      <c r="C13" s="2" t="n"/>
    </row>
    <row r="14">
      <c r="A14" s="6" t="inlineStr">
        <is>
          <t xml:space="preserve">  from Heartbeat+</t>
        </is>
      </c>
      <c r="B14" s="18">
        <f>Monthly!T25</f>
        <v/>
      </c>
      <c r="C14" s="2" t="n"/>
    </row>
    <row r="15">
      <c r="A15" s="6" t="inlineStr">
        <is>
          <t xml:space="preserve">  from ads</t>
        </is>
      </c>
      <c r="B15" s="18">
        <f>Monthly!T27</f>
        <v/>
      </c>
      <c r="C15" s="2" t="n"/>
    </row>
    <row r="16">
      <c r="A16" s="6" t="inlineStr">
        <is>
          <t xml:space="preserve">  from affiliate commission</t>
        </is>
      </c>
      <c r="B16" s="18">
        <f>Monthly!T28</f>
        <v/>
      </c>
      <c r="C16" s="2" t="n"/>
    </row>
    <row r="17">
      <c r="A17" s="6" t="inlineStr">
        <is>
          <t>Net burn over 18 months</t>
        </is>
      </c>
      <c r="B17" s="18">
        <f>Monthly!T31</f>
        <v/>
      </c>
      <c r="C17" s="2" t="n"/>
    </row>
    <row r="18">
      <c r="A18" s="6" t="inlineStr">
        <is>
          <t>Cash left at month 18 (buffer)</t>
        </is>
      </c>
      <c r="B18" s="18">
        <f>Monthly!S32</f>
        <v/>
      </c>
      <c r="C18" s="2" t="n"/>
    </row>
    <row r="19">
      <c r="A19" s="6" t="inlineStr">
        <is>
          <t>Lowest cash balance in any month</t>
        </is>
      </c>
      <c r="B19" s="18">
        <f>MIN(Monthly!B32:S32)</f>
        <v/>
      </c>
      <c r="C19" s="2" t="n"/>
    </row>
    <row r="20">
      <c r="A20" s="6" t="inlineStr">
        <is>
          <t>Total signups by month 18</t>
        </is>
      </c>
      <c r="B20" s="25">
        <f>Monthly!S18</f>
        <v/>
      </c>
      <c r="C20" s="2" t="n"/>
    </row>
    <row r="21">
      <c r="A21" s="6" t="inlineStr">
        <is>
          <t>Monthly active users at month 18</t>
        </is>
      </c>
      <c r="B21" s="25">
        <f>Monthly!S19</f>
        <v/>
      </c>
      <c r="C21" s="2" t="n"/>
    </row>
    <row r="22">
      <c r="A22" s="6" t="inlineStr">
        <is>
          <t>Paying users at month 18</t>
        </is>
      </c>
      <c r="B22" s="25">
        <f>Monthly!S20</f>
        <v/>
      </c>
      <c r="C22" s="2" t="n"/>
    </row>
    <row r="23">
      <c r="A23" s="6" t="inlineStr">
        <is>
          <t>Monthly net revenue at month 18</t>
        </is>
      </c>
      <c r="B23" s="18">
        <f>Monthly!S29</f>
        <v/>
      </c>
      <c r="C23" s="2" t="n"/>
    </row>
    <row r="24">
      <c r="A24" s="6" t="inlineStr">
        <is>
          <t>Average monthly burn</t>
        </is>
      </c>
      <c r="B24" s="18">
        <f>Monthly!T31/18</f>
        <v/>
      </c>
      <c r="C24" s="2" t="n"/>
    </row>
    <row r="25">
      <c r="A25" s="2" t="n"/>
      <c r="B25" s="2" t="n"/>
      <c r="C25" s="2" t="n"/>
    </row>
    <row r="26">
      <c r="A26" s="3" t="inlineStr">
        <is>
          <t>This is a plan, not a forecast. Growth and conversion are assumptions to be tested in the closed beta; the point of the round is to prove them.</t>
        </is>
      </c>
      <c r="B26" s="2" t="n"/>
      <c r="C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0" customWidth="1" min="1" max="1"/>
    <col width="34" customWidth="1" min="2" max="2"/>
    <col width="60" customWidth="1" min="3" max="3"/>
  </cols>
  <sheetData>
    <row r="1">
      <c r="A1" s="1" t="inlineStr">
        <is>
          <t>Sources for market figures used in the deck</t>
        </is>
      </c>
      <c r="B1" s="2" t="n"/>
      <c r="C1" s="2" t="n"/>
    </row>
    <row r="2">
      <c r="A2" s="2" t="n"/>
      <c r="B2" s="2" t="n"/>
      <c r="C2" s="2" t="n"/>
    </row>
    <row r="3">
      <c r="A3" s="15" t="inlineStr">
        <is>
          <t>Fact</t>
        </is>
      </c>
      <c r="B3" s="15" t="inlineStr">
        <is>
          <t>Source</t>
        </is>
      </c>
      <c r="C3" s="15" t="inlineStr">
        <is>
          <t>Link</t>
        </is>
      </c>
    </row>
    <row r="4">
      <c r="A4" s="26" t="inlineStr">
        <is>
          <t>Paying users are typically 5–15% of MAU on Indian dating apps; online dating ₹2,000–2,500 Cr by 2030 at 12–14% a year; women ~26% of users; 75%+ of Gen Z report swiping fatigue</t>
        </is>
      </c>
      <c r="B4" s="6" t="inlineStr">
        <is>
          <t>Redseer, Dec 2025</t>
        </is>
      </c>
      <c r="C4" s="27" t="inlineStr">
        <is>
          <t>https://redseer.com/articles/whos-winning-in-indias-dating-matrimony-market-and-where-are-the-opportunities-for-platforms-and-investors/</t>
        </is>
      </c>
    </row>
    <row r="5">
      <c r="A5" s="26" t="inlineStr">
        <is>
          <t>India dating apps market US$788M (2024), US$1.42B by 2030</t>
        </is>
      </c>
      <c r="B5" s="6" t="inlineStr">
        <is>
          <t>MarkNtel Advisors</t>
        </is>
      </c>
      <c r="C5" s="27" t="inlineStr">
        <is>
          <t>https://www.marknteladvisors.com/press-release/india-dating-apps-market-size</t>
        </is>
      </c>
    </row>
    <row r="6">
      <c r="A6" s="26" t="inlineStr">
        <is>
          <t>India online dating app market US$547.9M (2023), US$1,015M by 2030</t>
        </is>
      </c>
      <c r="B6" s="6" t="inlineStr">
        <is>
          <t>Grand View Research</t>
        </is>
      </c>
      <c r="C6" s="27" t="inlineStr">
        <is>
          <t>https://www.grandviewresearch.com/horizon/outlook/online-dating-application-market/india</t>
        </is>
      </c>
    </row>
    <row r="7">
      <c r="A7" s="26" t="inlineStr">
        <is>
          <t>Aisle: Info Edge bought 76% for ₹91 Cr (2022); FY25 revenue ₹39.6 Cr; weekly plans from ₹99</t>
        </is>
      </c>
      <c r="B7" s="6" t="inlineStr">
        <is>
          <t>Business Today; Storyboard18; Global Dating Insights</t>
        </is>
      </c>
      <c r="C7" s="27" t="inlineStr">
        <is>
          <t>https://www.businesstoday.in/entrepreneurship/news/story/infoedge-acquires-76-stake-in-dating-app-aisle-for-rs-91-cr-325207-2022-03-08</t>
        </is>
      </c>
    </row>
    <row r="8">
      <c r="A8" s="26" t="inlineStr">
        <is>
          <t>Hinge: India is its #2 market by downloads; Hinge+ ₹1,199/month</t>
        </is>
      </c>
      <c r="B8" s="6" t="inlineStr">
        <is>
          <t>Global Dating Insights, Sep 2026</t>
        </is>
      </c>
      <c r="C8" s="27" t="inlineStr">
        <is>
          <t>https://www.globaldatinginsights.com/from-the-web/hinge-india-second-largest-market/</t>
        </is>
      </c>
    </row>
    <row r="9">
      <c r="A9" s="26" t="inlineStr">
        <is>
          <t>Hinge paying users +17% while Match Group total fell 5% (Q4 2025)</t>
        </is>
      </c>
      <c r="B9" s="6" t="inlineStr">
        <is>
          <t>Match Group Q4 2025 results</t>
        </is>
      </c>
      <c r="C9" s="27" t="inlineStr">
        <is>
          <t>https://finviz.com/news/298114/match-group-announces-fourth-quarter-and-full-year-results</t>
        </is>
      </c>
    </row>
    <row r="10">
      <c r="A10" s="26" t="inlineStr">
        <is>
          <t>TrulyMadly revenue ₹12.3 Cr (FY25), ~US$8.9M raised</t>
        </is>
      </c>
      <c r="B10" s="6" t="inlineStr">
        <is>
          <t>Inc42</t>
        </is>
      </c>
      <c r="C10" s="27" t="inlineStr">
        <is>
          <t>https://inc42.com/company/trulymadly/</t>
        </is>
      </c>
    </row>
    <row r="11">
      <c r="A11" s="26" t="inlineStr">
        <is>
          <t>FRND (game-like audio dating) US$6.5M Series A led by KRAFTON</t>
        </is>
      </c>
      <c r="B11" s="6" t="inlineStr">
        <is>
          <t>YourStory, Dec 2021</t>
        </is>
      </c>
      <c r="C11" s="27" t="inlineStr">
        <is>
          <t>https://yourstory.com/2021/12/bengaluru-dating-app-audio-romance-frnd-series-a-funding-krafton</t>
        </is>
      </c>
    </row>
    <row r="12">
      <c r="A12" s="26" t="inlineStr">
        <is>
          <t>Amazon Associates India fee schedule: apparel 7.5%, shoes and jewellery 7%, beauty 8%; 24-hour cookie</t>
        </is>
      </c>
      <c r="B12" s="6" t="inlineStr">
        <is>
          <t>Amazon Associates India (Oct 2026)</t>
        </is>
      </c>
      <c r="C12" s="27" t="inlineStr">
        <is>
          <t>https://affiliate-program.amazon.in/help/operating/advertisingfees/</t>
        </is>
      </c>
    </row>
    <row r="13">
      <c r="A13" s="26" t="inlineStr">
        <is>
          <t>Flipkart Affiliate: fashion and lifestyle 8%</t>
        </is>
      </c>
      <c r="B13" s="6" t="inlineStr">
        <is>
          <t>Flipkart Affiliate (Oct 2026)</t>
        </is>
      </c>
      <c r="C13" s="27" t="inlineStr">
        <is>
          <t>https://affiliate.flipkart.com/commissions</t>
        </is>
      </c>
    </row>
    <row r="14">
      <c r="A14" s="26" t="inlineStr">
        <is>
          <t>Myntra via Cuelinks: 7.5% new users, 3.75% existing; 1-day cookie</t>
        </is>
      </c>
      <c r="B14" s="6" t="inlineStr">
        <is>
          <t>Cuelinks (2026)</t>
        </is>
      </c>
      <c r="C14" s="27" t="inlineStr">
        <is>
          <t>https://www.cuelinks.com/campaigns/myntra-affiliate-program</t>
        </is>
      </c>
    </row>
    <row r="15">
      <c r="A15" s="26" t="inlineStr">
        <is>
          <t>Nykaa affiliate programme: flat 8%</t>
        </is>
      </c>
      <c r="B15" s="6" t="inlineStr">
        <is>
          <t>Nykaa Affiliate</t>
        </is>
      </c>
      <c r="C15" s="27" t="inlineStr">
        <is>
          <t>https://affiliate.nykaa.com/commission.html</t>
        </is>
      </c>
    </row>
    <row r="16">
      <c r="A16" s="26" t="inlineStr">
        <is>
          <t>Dating is allowed on AdSense/AdMob; sexual content and compensated dating are not; publisher is responsible for user-generated content</t>
        </is>
      </c>
      <c r="B16" s="6" t="inlineStr">
        <is>
          <t>Google publisher policies</t>
        </is>
      </c>
      <c r="C16" s="27" t="inlineStr">
        <is>
          <t>https://support.google.com/adsense/answer/10502938</t>
        </is>
      </c>
    </row>
    <row r="17">
      <c r="A17" s="26" t="inlineStr">
        <is>
          <t>Rewarded ads must be opt-in, disclosed, and in-app rewards only</t>
        </is>
      </c>
      <c r="B17" s="6" t="inlineStr">
        <is>
          <t>AdMob help</t>
        </is>
      </c>
      <c r="C17" s="27" t="inlineStr">
        <is>
          <t>https://support.google.com/admob/answer/7313578</t>
        </is>
      </c>
    </row>
    <row r="18">
      <c r="A18" s="26" t="inlineStr">
        <is>
          <t>TrulyMadly: ₹53.3 L ad revenue vs ₹1.95 Cr paid services (FY18)</t>
        </is>
      </c>
      <c r="B18" s="6" t="inlineStr">
        <is>
          <t>Entrackr, Jan 2019</t>
        </is>
      </c>
      <c r="C18" s="27" t="inlineStr">
        <is>
          <t>https://entrackr.com/2019/01/trulymadly-turn-profitable-fy18</t>
        </is>
      </c>
    </row>
    <row r="19">
      <c r="A19" s="26" t="inlineStr">
        <is>
          <t>Bumble Premium ₹279–399 a week, ₹799 a month; QuackQuack Plus 1 month at ₹299–989 (price tests); Happn ₹99 a week</t>
        </is>
      </c>
      <c r="B19" s="6" t="inlineStr">
        <is>
          <t>App Store India in-app purchase listings, seen 24 Oct 2026</t>
        </is>
      </c>
      <c r="C19" s="27" t="inlineStr">
        <is>
          <t>https://apps.apple.com/in/</t>
        </is>
      </c>
    </row>
    <row r="20">
      <c r="A20" s="26" t="inlineStr">
        <is>
          <t>Hinge+ ₹1,199 a month, HingeX ₹1,499 a month</t>
        </is>
      </c>
      <c r="B20" s="6" t="inlineStr">
        <is>
          <t>Global Dating Insights, 29 Sep 2026</t>
        </is>
      </c>
      <c r="C20" s="27" t="inlineStr">
        <is>
          <t>https://www.globaldatinginsights.com/from-the-web/hinge-india-second-largest-market/</t>
        </is>
      </c>
    </row>
    <row r="21">
      <c r="A21" s="26" t="inlineStr">
        <is>
          <t>Aisle weekly plans from ₹99</t>
        </is>
      </c>
      <c r="B21" s="6" t="inlineStr">
        <is>
          <t>Global Dating Insights, Jul 2025</t>
        </is>
      </c>
      <c r="C21" s="27" t="inlineStr">
        <is>
          <t>https://www.globaldatinginsights.com/featured/aisle-network-marks-11th-anniversary-with-changes-to-premium-model/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2026-10-24T14:08:38Z</dcterms:created>
  <dcterms:modified xsi:type="dcterms:W3CDTF">2026-10-24T14:08:38Z</dcterms:modified>
</cp:coreProperties>
</file>